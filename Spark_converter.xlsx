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enata\Documents\Mystic Rebels\"/>
    </mc:Choice>
  </mc:AlternateContent>
  <xr:revisionPtr revIDLastSave="0" documentId="13_ncr:1_{4CD9CCDB-09C8-42D7-8A29-8C48B6B83A90}" xr6:coauthVersionLast="47" xr6:coauthVersionMax="47" xr10:uidLastSave="{00000000-0000-0000-0000-000000000000}"/>
  <bookViews>
    <workbookView xWindow="-120" yWindow="-120" windowWidth="29040" windowHeight="15840" activeTab="4" xr2:uid="{6E7E2B5C-85F0-48C6-B4FF-BC399921049A}"/>
  </bookViews>
  <sheets>
    <sheet name="Spark_calculator" sheetId="1" r:id="rId1"/>
    <sheet name="TruePlacement_calculator" sheetId="7" r:id="rId2"/>
    <sheet name="Practice" sheetId="12" r:id="rId3"/>
    <sheet name="Practice2" sheetId="13" r:id="rId4"/>
    <sheet name="Practice3" sheetId="14" r:id="rId5"/>
    <sheet name="WORD_document" sheetId="15" r:id="rId6"/>
    <sheet name="row_WD" sheetId="16" r:id="rId7"/>
    <sheet name="List5" sheetId="8" r:id="rId8"/>
    <sheet name="List8" sheetId="11" r:id="rId9"/>
    <sheet name="ListOption_PLANET" sheetId="9" r:id="rId10"/>
    <sheet name="ListOption_SIGN" sheetId="10" r:id="rId11"/>
    <sheet name="Seznami" sheetId="2" r:id="rId12"/>
    <sheet name="Spark_DataBase" sheetId="3" r:id="rId13"/>
    <sheet name="TruePlacement_DataBase1" sheetId="4" r:id="rId14"/>
    <sheet name="TruePlacement_DataBase2" sheetId="5" r:id="rId15"/>
    <sheet name="TruePlacement_DataBase3" sheetId="6" r:id="rId16"/>
  </sheets>
  <definedNames>
    <definedName name="Aquarius">ListOption_SIGN!$L$4:$L$57</definedName>
    <definedName name="Aries">ListOption_SIGN!$B$4:$B$39</definedName>
    <definedName name="Cancer">ListOption_SIGN!$E$4:$E$53</definedName>
    <definedName name="Capricorn">ListOption_SIGN!$K$4:$K$58</definedName>
    <definedName name="DD_degree_dd">DD_degree[Degree]</definedName>
    <definedName name="DD_risingsign_ddown">DD_risingsign[RISING SIGN]</definedName>
    <definedName name="DD_sign_dd">DD_sign[SIGN]</definedName>
    <definedName name="DD_subject_dd">DD_subject[SUBJECT]</definedName>
    <definedName name="DD_TruePlacement1_ddown">DD_TruePlacement1[TruePlacement 1]</definedName>
    <definedName name="DD_TruePlacement2_ddown">DD_TruePlacement2[TruePlacement2]</definedName>
    <definedName name="Gemini">ListOption_SIGN!$D$4:$D$39</definedName>
    <definedName name="JUPITER">ListOption_PLANET!$H$4:$H$61</definedName>
    <definedName name="Leo">ListOption_SIGN!$F$4:$F$61</definedName>
    <definedName name="Libra">ListOption_SIGN!$H$4:$H$43</definedName>
    <definedName name="MARS">ListOption_PLANET!$F$4:$F$39</definedName>
    <definedName name="MERCURY">ListOption_PLANET!$E$4:$E$70</definedName>
    <definedName name="MOON">ListOption_PLANET!$B$4:$B$53</definedName>
    <definedName name="NEPTUNE">ListOption_PLANET!$K$4:$K$55</definedName>
    <definedName name="Pisces">ListOption_SIGN!$M$4:$M$55</definedName>
    <definedName name="Planet">ListOption_PLANET!$A$4:$A$13</definedName>
    <definedName name="PLUTO">ListOption_PLANET!$G$4:$G$51</definedName>
    <definedName name="Sagittarius">ListOption_SIGN!$J$4:$J$61</definedName>
    <definedName name="SATURN">ListOption_PLANET!$I$4:$I$58</definedName>
    <definedName name="Scorpio">ListOption_SIGN!$I$4:$I$51</definedName>
    <definedName name="SIGN">ListOption_SIGN!$A$4:$A$15</definedName>
    <definedName name="SUN">ListOption_PLANET!$C$4:$C$61</definedName>
    <definedName name="Taurus">ListOption_SIGN!$C$4:$C$36</definedName>
    <definedName name="URANUS">ListOption_PLANET!$J$4:$J$57</definedName>
    <definedName name="VENUS">ListOption_PLANET!$D$4:$D$76</definedName>
    <definedName name="Virgo">ListOption_SIGN!$G$4:$G$34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70" i="14" l="1"/>
  <c r="AS54" i="14" s="1"/>
  <c r="L77" i="14"/>
  <c r="L30" i="14"/>
  <c r="L76" i="14"/>
  <c r="L29" i="14"/>
  <c r="C108" i="14"/>
  <c r="Q75" i="14" l="1"/>
  <c r="AS55" i="14" s="1"/>
  <c r="AM44" i="14" l="1"/>
  <c r="AM43" i="14"/>
  <c r="Q23" i="14"/>
  <c r="Q28" i="14" s="1"/>
  <c r="AS49" i="14" s="1"/>
  <c r="AF22" i="14"/>
  <c r="AS45" i="14" s="1"/>
  <c r="AS51" i="14" s="1"/>
  <c r="E9" i="14"/>
  <c r="W7" i="14"/>
  <c r="Q64" i="14" s="1"/>
  <c r="V7" i="14"/>
  <c r="W6" i="14"/>
  <c r="I64" i="14" s="1"/>
  <c r="V6" i="14"/>
  <c r="AG46" i="14" s="1"/>
  <c r="R6" i="14"/>
  <c r="C73" i="14" s="1"/>
  <c r="P6" i="14"/>
  <c r="AG43" i="14" s="1"/>
  <c r="W5" i="14"/>
  <c r="V5" i="14"/>
  <c r="F13" i="14" s="1"/>
  <c r="T5" i="14"/>
  <c r="AG45" i="14" s="1"/>
  <c r="R5" i="14"/>
  <c r="P5" i="14"/>
  <c r="N5" i="14"/>
  <c r="AG42" i="14" s="1"/>
  <c r="L5" i="14"/>
  <c r="C64" i="14" s="1"/>
  <c r="I23" i="13"/>
  <c r="E9" i="13"/>
  <c r="AG34" i="13" s="1"/>
  <c r="AG43" i="13" s="1"/>
  <c r="AG37" i="13"/>
  <c r="AG36" i="13"/>
  <c r="P5" i="13"/>
  <c r="W7" i="13"/>
  <c r="Q57" i="13" s="1"/>
  <c r="W6" i="13"/>
  <c r="L57" i="13" s="1"/>
  <c r="V7" i="13"/>
  <c r="I13" i="13" s="1"/>
  <c r="V6" i="13"/>
  <c r="F57" i="13" s="1"/>
  <c r="T5" i="13"/>
  <c r="AB38" i="13" s="1"/>
  <c r="R5" i="13"/>
  <c r="N5" i="13"/>
  <c r="T57" i="13" s="1"/>
  <c r="W7" i="12"/>
  <c r="R6" i="13"/>
  <c r="C66" i="13" s="1"/>
  <c r="P6" i="13"/>
  <c r="C63" i="13" s="1"/>
  <c r="W5" i="13"/>
  <c r="V5" i="13"/>
  <c r="F13" i="13" s="1"/>
  <c r="L5" i="13"/>
  <c r="C57" i="13" s="1"/>
  <c r="AM48" i="14" l="1"/>
  <c r="L74" i="14"/>
  <c r="L78" i="14"/>
  <c r="L31" i="14"/>
  <c r="L75" i="14"/>
  <c r="L28" i="14"/>
  <c r="AG47" i="14"/>
  <c r="L64" i="14"/>
  <c r="P62" i="2"/>
  <c r="P67" i="2"/>
  <c r="AS48" i="14"/>
  <c r="AM42" i="14"/>
  <c r="L27" i="14"/>
  <c r="AM45" i="14"/>
  <c r="C13" i="14"/>
  <c r="Q13" i="14"/>
  <c r="I13" i="14"/>
  <c r="C23" i="14"/>
  <c r="AM41" i="14"/>
  <c r="AM47" i="14"/>
  <c r="AM49" i="14"/>
  <c r="F64" i="14"/>
  <c r="T64" i="14"/>
  <c r="L13" i="14"/>
  <c r="AG44" i="14"/>
  <c r="AG48" i="14"/>
  <c r="Y64" i="14"/>
  <c r="AM46" i="14"/>
  <c r="C70" i="14"/>
  <c r="C26" i="14"/>
  <c r="AG41" i="14"/>
  <c r="AG49" i="14"/>
  <c r="AG40" i="13"/>
  <c r="AG35" i="13"/>
  <c r="AG39" i="13"/>
  <c r="AG42" i="13"/>
  <c r="AG38" i="13"/>
  <c r="AG41" i="13"/>
  <c r="L13" i="13"/>
  <c r="AB35" i="13"/>
  <c r="AB39" i="13"/>
  <c r="C13" i="13"/>
  <c r="Q13" i="13"/>
  <c r="AB36" i="13"/>
  <c r="AB40" i="13"/>
  <c r="C23" i="13"/>
  <c r="AB37" i="13"/>
  <c r="AB41" i="13"/>
  <c r="I57" i="13"/>
  <c r="Y57" i="13"/>
  <c r="AB34" i="13"/>
  <c r="AB43" i="13" s="1"/>
  <c r="AB42" i="13"/>
  <c r="C26" i="13"/>
  <c r="V7" i="12"/>
  <c r="AB36" i="12" s="1"/>
  <c r="R6" i="12"/>
  <c r="AB33" i="12" s="1"/>
  <c r="P6" i="12"/>
  <c r="AB32" i="12" s="1"/>
  <c r="P5" i="12"/>
  <c r="W6" i="12"/>
  <c r="W5" i="12"/>
  <c r="W15" i="7"/>
  <c r="R15" i="7"/>
  <c r="V6" i="12"/>
  <c r="V5" i="12"/>
  <c r="F13" i="12" s="1"/>
  <c r="AS3" i="12"/>
  <c r="AQ3" i="12"/>
  <c r="AP3" i="12"/>
  <c r="I19" i="12"/>
  <c r="P44" i="2" s="1"/>
  <c r="N5" i="12"/>
  <c r="AB31" i="12" s="1"/>
  <c r="R5" i="12"/>
  <c r="AN3" i="12"/>
  <c r="AL3" i="12"/>
  <c r="AK3" i="12"/>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M12" i="1"/>
  <c r="K12" i="1"/>
  <c r="L5" i="12"/>
  <c r="AB30" i="12" s="1"/>
  <c r="AE37" i="14" l="1"/>
  <c r="P53" i="2" s="1"/>
  <c r="AG50" i="14"/>
  <c r="AE36" i="14"/>
  <c r="P52" i="2" s="1"/>
  <c r="AE25" i="14"/>
  <c r="P57" i="2" s="1"/>
  <c r="AM50" i="14"/>
  <c r="AE26" i="14"/>
  <c r="P58" i="2" s="1"/>
  <c r="Z25" i="13"/>
  <c r="Z26" i="13"/>
  <c r="P41" i="2" s="1"/>
  <c r="Z30" i="13"/>
  <c r="P36" i="2" s="1"/>
  <c r="Z29" i="13"/>
  <c r="P35" i="2" s="1"/>
  <c r="U10" i="13" s="1"/>
  <c r="L52" i="12"/>
  <c r="AB37" i="12"/>
  <c r="Q52" i="12"/>
  <c r="AB38" i="12"/>
  <c r="F52" i="12"/>
  <c r="AB35" i="12"/>
  <c r="L13" i="12"/>
  <c r="T52" i="12"/>
  <c r="C19" i="12"/>
  <c r="C58" i="12"/>
  <c r="C22" i="12"/>
  <c r="C61" i="12"/>
  <c r="C13" i="12"/>
  <c r="C52" i="12"/>
  <c r="I13" i="12"/>
  <c r="I52" i="12"/>
  <c r="L16" i="8"/>
  <c r="U15" i="7"/>
  <c r="J16" i="8" s="1"/>
  <c r="T15" i="7"/>
  <c r="H16" i="8"/>
  <c r="P15" i="7"/>
  <c r="F16" i="8" s="1"/>
  <c r="O15" i="7"/>
  <c r="M15" i="7"/>
  <c r="P16" i="8" s="1"/>
  <c r="K15" i="7"/>
  <c r="J15" i="7"/>
  <c r="N16" i="8" s="1"/>
  <c r="C15" i="7"/>
  <c r="D16" i="8" s="1"/>
  <c r="C12" i="7"/>
  <c r="D4" i="8" s="1"/>
  <c r="F15" i="7"/>
  <c r="F12" i="7"/>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O9" i="1"/>
  <c r="K9" i="1"/>
  <c r="M9" i="1"/>
  <c r="O12" i="1"/>
  <c r="K15" i="1"/>
  <c r="M15" i="1"/>
  <c r="O15" i="1"/>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4" i="3"/>
  <c r="D5" i="3"/>
  <c r="D6" i="3"/>
  <c r="D7" i="3"/>
  <c r="D8" i="3"/>
  <c r="D9" i="3"/>
  <c r="D10" i="3"/>
  <c r="D11" i="3"/>
  <c r="D12" i="3"/>
  <c r="D3" i="3"/>
  <c r="U17" i="14" l="1"/>
  <c r="AS47" i="14" s="1"/>
  <c r="AB77" i="14"/>
  <c r="AS53" i="14" s="1"/>
  <c r="U10" i="14"/>
  <c r="AS46" i="14" s="1"/>
  <c r="AB70" i="14"/>
  <c r="AS52" i="14" s="1"/>
  <c r="P40" i="2"/>
  <c r="U17" i="13" s="1"/>
  <c r="T5" i="12"/>
  <c r="AB34" i="12" s="1"/>
  <c r="J12" i="7"/>
  <c r="J4" i="8" s="1"/>
  <c r="R12" i="7"/>
  <c r="H4" i="8" s="1"/>
  <c r="K12" i="7"/>
  <c r="P12" i="7"/>
  <c r="F4" i="8" s="1"/>
  <c r="M12" i="7"/>
  <c r="L4" i="8" s="1"/>
  <c r="O12" i="7"/>
  <c r="R7" i="1"/>
  <c r="R6" i="1"/>
  <c r="R8" i="1"/>
  <c r="Z26" i="12" l="1"/>
  <c r="Z25" i="12"/>
  <c r="Q13" i="12"/>
  <c r="Y52" i="12"/>
</calcChain>
</file>

<file path=xl/sharedStrings.xml><?xml version="1.0" encoding="utf-8"?>
<sst xmlns="http://schemas.openxmlformats.org/spreadsheetml/2006/main" count="20906" uniqueCount="779">
  <si>
    <t>Degree</t>
  </si>
  <si>
    <t>Sign</t>
  </si>
  <si>
    <t>Helper</t>
  </si>
  <si>
    <t>Spark</t>
  </si>
  <si>
    <t>Decan</t>
  </si>
  <si>
    <t>Decan Planets</t>
  </si>
  <si>
    <r>
      <t>0</t>
    </r>
    <r>
      <rPr>
        <sz val="11"/>
        <color theme="1"/>
        <rFont val="Symbol"/>
        <family val="1"/>
        <charset val="2"/>
      </rPr>
      <t>°</t>
    </r>
  </si>
  <si>
    <t>Aries</t>
  </si>
  <si>
    <t>MARS</t>
  </si>
  <si>
    <t>Taurus</t>
  </si>
  <si>
    <t>Libra</t>
  </si>
  <si>
    <t>VENUS (Taurus)</t>
  </si>
  <si>
    <t>Gemini</t>
  </si>
  <si>
    <t>MERCURY (Gemini)</t>
  </si>
  <si>
    <t>Cancer</t>
  </si>
  <si>
    <t>MOON</t>
  </si>
  <si>
    <t>Leo</t>
  </si>
  <si>
    <t>SUN</t>
  </si>
  <si>
    <t>Virgo</t>
  </si>
  <si>
    <t>MERCURY (Virgo)</t>
  </si>
  <si>
    <t>VENUS (Libra)</t>
  </si>
  <si>
    <t>Scorpio</t>
  </si>
  <si>
    <t>PLUTO</t>
  </si>
  <si>
    <t>Sagittarius</t>
  </si>
  <si>
    <t>JUPITER</t>
  </si>
  <si>
    <t>Capricorn</t>
  </si>
  <si>
    <t>SATURN</t>
  </si>
  <si>
    <t>Aquarius</t>
  </si>
  <si>
    <t>URANUS</t>
  </si>
  <si>
    <t>Pisces</t>
  </si>
  <si>
    <t>NEPTUNE</t>
  </si>
  <si>
    <t>1°</t>
  </si>
  <si>
    <t>2°</t>
  </si>
  <si>
    <t>3°</t>
  </si>
  <si>
    <t>4°</t>
  </si>
  <si>
    <t>5°</t>
  </si>
  <si>
    <t>6°</t>
  </si>
  <si>
    <t>7°</t>
  </si>
  <si>
    <t>8°</t>
  </si>
  <si>
    <t>9°</t>
  </si>
  <si>
    <t>10°</t>
  </si>
  <si>
    <t>11°</t>
  </si>
  <si>
    <t>12°</t>
  </si>
  <si>
    <t>13°</t>
  </si>
  <si>
    <t>14°</t>
  </si>
  <si>
    <t>15°</t>
  </si>
  <si>
    <t>16°</t>
  </si>
  <si>
    <t>19°</t>
  </si>
  <si>
    <t>17°</t>
  </si>
  <si>
    <t>18°</t>
  </si>
  <si>
    <t>20°</t>
  </si>
  <si>
    <t>21°</t>
  </si>
  <si>
    <t>22°</t>
  </si>
  <si>
    <t>23°</t>
  </si>
  <si>
    <t>24°</t>
  </si>
  <si>
    <t>25°</t>
  </si>
  <si>
    <t>26°</t>
  </si>
  <si>
    <t>27°</t>
  </si>
  <si>
    <t>28°</t>
  </si>
  <si>
    <t>29°</t>
  </si>
  <si>
    <t>SIGN</t>
  </si>
  <si>
    <t>DEGREE:</t>
  </si>
  <si>
    <t>SIGN:</t>
  </si>
  <si>
    <t>SPARK</t>
  </si>
  <si>
    <t xml:space="preserve">Decan </t>
  </si>
  <si>
    <t>SUBJECT</t>
  </si>
  <si>
    <t xml:space="preserve">VENUS </t>
  </si>
  <si>
    <t>MERCURY</t>
  </si>
  <si>
    <t>ASC</t>
  </si>
  <si>
    <t>IC</t>
  </si>
  <si>
    <t>MC</t>
  </si>
  <si>
    <t>DSC</t>
  </si>
  <si>
    <t>Chiron</t>
  </si>
  <si>
    <t>Mars</t>
  </si>
  <si>
    <t>Venus</t>
  </si>
  <si>
    <t>Mercury</t>
  </si>
  <si>
    <t>Moon</t>
  </si>
  <si>
    <t>Sun</t>
  </si>
  <si>
    <t>Pluto</t>
  </si>
  <si>
    <t>Jupiter</t>
  </si>
  <si>
    <t>Saturn</t>
  </si>
  <si>
    <t>Uranus</t>
  </si>
  <si>
    <t>Neptune</t>
  </si>
  <si>
    <t>BML</t>
  </si>
  <si>
    <t>BML (o)</t>
  </si>
  <si>
    <t>NN</t>
  </si>
  <si>
    <t>SN</t>
  </si>
  <si>
    <t xml:space="preserve">  SPARK</t>
  </si>
  <si>
    <t>DEGREE</t>
  </si>
  <si>
    <t>IS</t>
  </si>
  <si>
    <t>expressing through</t>
  </si>
  <si>
    <t>coming from</t>
  </si>
  <si>
    <t>Planet</t>
  </si>
  <si>
    <t>Rising</t>
  </si>
  <si>
    <t>IS house</t>
  </si>
  <si>
    <t>IS sign</t>
  </si>
  <si>
    <t>BASE house</t>
  </si>
  <si>
    <t>BASE sign</t>
  </si>
  <si>
    <r>
      <t>1</t>
    </r>
    <r>
      <rPr>
        <vertAlign val="superscript"/>
        <sz val="10"/>
        <color theme="1"/>
        <rFont val="Calibri"/>
        <family val="2"/>
        <scheme val="minor"/>
      </rPr>
      <t>st</t>
    </r>
  </si>
  <si>
    <r>
      <t>4</t>
    </r>
    <r>
      <rPr>
        <vertAlign val="superscript"/>
        <sz val="10"/>
        <color theme="1"/>
        <rFont val="Calibri"/>
        <family val="2"/>
        <scheme val="minor"/>
      </rPr>
      <t>th</t>
    </r>
  </si>
  <si>
    <r>
      <t>12</t>
    </r>
    <r>
      <rPr>
        <vertAlign val="superscript"/>
        <sz val="10"/>
        <color theme="1"/>
        <rFont val="Calibri"/>
        <family val="2"/>
        <scheme val="minor"/>
      </rPr>
      <t>th</t>
    </r>
  </si>
  <si>
    <r>
      <t>3</t>
    </r>
    <r>
      <rPr>
        <vertAlign val="superscript"/>
        <sz val="10"/>
        <color theme="1"/>
        <rFont val="Calibri"/>
        <family val="2"/>
        <scheme val="minor"/>
      </rPr>
      <t>rd</t>
    </r>
  </si>
  <si>
    <r>
      <t>11</t>
    </r>
    <r>
      <rPr>
        <vertAlign val="superscript"/>
        <sz val="10"/>
        <color theme="1"/>
        <rFont val="Calibri"/>
        <family val="2"/>
        <scheme val="minor"/>
      </rPr>
      <t>th</t>
    </r>
  </si>
  <si>
    <r>
      <t>2</t>
    </r>
    <r>
      <rPr>
        <vertAlign val="superscript"/>
        <sz val="10"/>
        <color theme="1"/>
        <rFont val="Calibri"/>
        <family val="2"/>
        <scheme val="minor"/>
      </rPr>
      <t>nd</t>
    </r>
  </si>
  <si>
    <r>
      <t>10</t>
    </r>
    <r>
      <rPr>
        <vertAlign val="superscript"/>
        <sz val="10"/>
        <color theme="1"/>
        <rFont val="Calibri"/>
        <family val="2"/>
        <scheme val="minor"/>
      </rPr>
      <t>th</t>
    </r>
  </si>
  <si>
    <r>
      <t>9</t>
    </r>
    <r>
      <rPr>
        <vertAlign val="superscript"/>
        <sz val="10"/>
        <color theme="1"/>
        <rFont val="Calibri"/>
        <family val="2"/>
        <scheme val="minor"/>
      </rPr>
      <t>th</t>
    </r>
  </si>
  <si>
    <r>
      <t>8</t>
    </r>
    <r>
      <rPr>
        <vertAlign val="superscript"/>
        <sz val="10"/>
        <color theme="1"/>
        <rFont val="Calibri"/>
        <family val="2"/>
        <scheme val="minor"/>
      </rPr>
      <t>th</t>
    </r>
  </si>
  <si>
    <r>
      <t>7</t>
    </r>
    <r>
      <rPr>
        <vertAlign val="superscript"/>
        <sz val="10"/>
        <color theme="1"/>
        <rFont val="Calibri"/>
        <family val="2"/>
        <scheme val="minor"/>
      </rPr>
      <t>th</t>
    </r>
  </si>
  <si>
    <r>
      <t>6</t>
    </r>
    <r>
      <rPr>
        <vertAlign val="superscript"/>
        <sz val="10"/>
        <color theme="1"/>
        <rFont val="Calibri"/>
        <family val="2"/>
        <scheme val="minor"/>
      </rPr>
      <t>th</t>
    </r>
  </si>
  <si>
    <r>
      <t>5</t>
    </r>
    <r>
      <rPr>
        <vertAlign val="superscript"/>
        <sz val="10"/>
        <color theme="1"/>
        <rFont val="Calibri"/>
        <family val="2"/>
        <scheme val="minor"/>
      </rPr>
      <t>th</t>
    </r>
  </si>
  <si>
    <t>1st</t>
  </si>
  <si>
    <t>12th</t>
  </si>
  <si>
    <t>11th</t>
  </si>
  <si>
    <t>10th</t>
  </si>
  <si>
    <t>9th</t>
  </si>
  <si>
    <t>8th</t>
  </si>
  <si>
    <t>7th</t>
  </si>
  <si>
    <t>6th</t>
  </si>
  <si>
    <t>5th</t>
  </si>
  <si>
    <t>4th</t>
  </si>
  <si>
    <t>3rd</t>
  </si>
  <si>
    <t>2nd</t>
  </si>
  <si>
    <t>Sign2</t>
  </si>
  <si>
    <t>Sign3</t>
  </si>
  <si>
    <t>TruePlacement 1</t>
  </si>
  <si>
    <t>RISING SIGN</t>
  </si>
  <si>
    <t>House</t>
  </si>
  <si>
    <t>VENUS</t>
  </si>
  <si>
    <t>BASE house3</t>
  </si>
  <si>
    <t>BASE sign4</t>
  </si>
  <si>
    <t>Sign5</t>
  </si>
  <si>
    <t>TruePlacement2</t>
  </si>
  <si>
    <t>True Placement</t>
  </si>
  <si>
    <t>PLANET</t>
  </si>
  <si>
    <t>1 house ruler</t>
  </si>
  <si>
    <t>2  house rulers</t>
  </si>
  <si>
    <t>NEPTUNE in Sagittaruis (Sagittarius rising)</t>
  </si>
  <si>
    <t>is</t>
  </si>
  <si>
    <t>sign</t>
  </si>
  <si>
    <t>house</t>
  </si>
  <si>
    <t xml:space="preserve">with base from </t>
  </si>
  <si>
    <t>and</t>
  </si>
  <si>
    <t xml:space="preserve">VLOOKUP(F6&amp;"-"&amp;F7&amp;"-"&amp;F8; </t>
  </si>
  <si>
    <t>"("&amp;VLOOKUP(C6&amp;"-"&amp;C7&amp;"-"&amp;C8; TruePlacement_DataBase1[[Helper]:[Sign3]]; 2;FALSE)&amp;")"</t>
  </si>
  <si>
    <t>"("&amp;VLOOKUP(F6&amp;"-"&amp;F7&amp;"-"&amp;F8; TruePlacement_DataBase2[[Helper]:[Sign5]]; 3;0)&amp;")"</t>
  </si>
  <si>
    <t xml:space="preserve">PLANET  </t>
  </si>
  <si>
    <t xml:space="preserve">SIGN  </t>
  </si>
  <si>
    <t xml:space="preserve">RISING  </t>
  </si>
  <si>
    <t xml:space="preserve">based on </t>
  </si>
  <si>
    <t>HOUSE(sign)</t>
  </si>
  <si>
    <t>through</t>
  </si>
  <si>
    <t>SIGN(of the house)</t>
  </si>
  <si>
    <t>directed into</t>
  </si>
  <si>
    <t>HOUSE</t>
  </si>
  <si>
    <t xml:space="preserve">expressed through </t>
  </si>
  <si>
    <t>List option</t>
  </si>
  <si>
    <t xml:space="preserve">Planet </t>
  </si>
  <si>
    <t>Action</t>
  </si>
  <si>
    <t>Aggression</t>
  </si>
  <si>
    <t>Assertion</t>
  </si>
  <si>
    <t>Beginnings</t>
  </si>
  <si>
    <t>Blood</t>
  </si>
  <si>
    <t>Bravery</t>
  </si>
  <si>
    <t>Challenge</t>
  </si>
  <si>
    <t>Competition</t>
  </si>
  <si>
    <t>Conflict</t>
  </si>
  <si>
    <t>Courage</t>
  </si>
  <si>
    <t>Devine Masculine</t>
  </si>
  <si>
    <t xml:space="preserve">Direct personal energy </t>
  </si>
  <si>
    <t>Drive</t>
  </si>
  <si>
    <t>Emergency &amp; Urgency</t>
  </si>
  <si>
    <t>Energy</t>
  </si>
  <si>
    <t>First</t>
  </si>
  <si>
    <t>Force</t>
  </si>
  <si>
    <t>Head</t>
  </si>
  <si>
    <t>Impact</t>
  </si>
  <si>
    <t>Impulse</t>
  </si>
  <si>
    <t>Independence</t>
  </si>
  <si>
    <t>Initiation</t>
  </si>
  <si>
    <t>Movement</t>
  </si>
  <si>
    <t>Passion</t>
  </si>
  <si>
    <t>Physical Appearance</t>
  </si>
  <si>
    <t>Physical Attraction</t>
  </si>
  <si>
    <t>Physical Body</t>
  </si>
  <si>
    <t>Pioneering</t>
  </si>
  <si>
    <t>Putting yourself first</t>
  </si>
  <si>
    <t>Reaction</t>
  </si>
  <si>
    <t>Selfishness</t>
  </si>
  <si>
    <t>Sense of Self</t>
  </si>
  <si>
    <t>Sex drive</t>
  </si>
  <si>
    <t>Speed</t>
  </si>
  <si>
    <t>Spice</t>
  </si>
  <si>
    <t>Violence</t>
  </si>
  <si>
    <t>Art</t>
  </si>
  <si>
    <t>Beauty</t>
  </si>
  <si>
    <t>Comfort</t>
  </si>
  <si>
    <t>Dairy</t>
  </si>
  <si>
    <t>Finance</t>
  </si>
  <si>
    <t>Food</t>
  </si>
  <si>
    <t>Fuel</t>
  </si>
  <si>
    <t>Herbs</t>
  </si>
  <si>
    <t>Internal  comfort</t>
  </si>
  <si>
    <t>Items</t>
  </si>
  <si>
    <t>Luxury</t>
  </si>
  <si>
    <t>Material Goods</t>
  </si>
  <si>
    <t>Milk</t>
  </si>
  <si>
    <t>Mineral</t>
  </si>
  <si>
    <t>Money</t>
  </si>
  <si>
    <t>Nature</t>
  </si>
  <si>
    <t>Neck</t>
  </si>
  <si>
    <t>Physical Products</t>
  </si>
  <si>
    <t>Plants</t>
  </si>
  <si>
    <t>Possessions</t>
  </si>
  <si>
    <t>Relaxation</t>
  </si>
  <si>
    <t xml:space="preserve">Resources </t>
  </si>
  <si>
    <t>Self-Esteem</t>
  </si>
  <si>
    <t xml:space="preserve">Self-Value </t>
  </si>
  <si>
    <t>Self-Worth</t>
  </si>
  <si>
    <t>Senses</t>
  </si>
  <si>
    <t>Slow &amp; Steady</t>
  </si>
  <si>
    <t>Talents</t>
  </si>
  <si>
    <t>Throat</t>
  </si>
  <si>
    <t>Value (self)</t>
  </si>
  <si>
    <t>Values</t>
  </si>
  <si>
    <t>Vanity</t>
  </si>
  <si>
    <t>Business  name (S+H+P)</t>
  </si>
  <si>
    <t>Classmates - early education</t>
  </si>
  <si>
    <t>Close / local environment</t>
  </si>
  <si>
    <t>Communication</t>
  </si>
  <si>
    <t>Cousins</t>
  </si>
  <si>
    <t>Coworkers</t>
  </si>
  <si>
    <t>Curiosity</t>
  </si>
  <si>
    <t>Data collecting</t>
  </si>
  <si>
    <t>Early</t>
  </si>
  <si>
    <t>Ears</t>
  </si>
  <si>
    <t>Eyes &amp; Hands</t>
  </si>
  <si>
    <t>Fact &amp; Figures</t>
  </si>
  <si>
    <t>Hands</t>
  </si>
  <si>
    <t>Ideas</t>
  </si>
  <si>
    <t>Identity (internal)</t>
  </si>
  <si>
    <t>Learning</t>
  </si>
  <si>
    <t>Learning Style</t>
  </si>
  <si>
    <t>Local</t>
  </si>
  <si>
    <t>Logic</t>
  </si>
  <si>
    <t>Mental Processes</t>
  </si>
  <si>
    <t>Messages &amp; Docs</t>
  </si>
  <si>
    <t>Mind (inner)</t>
  </si>
  <si>
    <t>Mindset</t>
  </si>
  <si>
    <t>Neighbours</t>
  </si>
  <si>
    <t>Numbers</t>
  </si>
  <si>
    <t>Options</t>
  </si>
  <si>
    <t>Perception</t>
  </si>
  <si>
    <t>Quick learning</t>
  </si>
  <si>
    <t>Short Trips</t>
  </si>
  <si>
    <t>Siblings</t>
  </si>
  <si>
    <t>Speaking</t>
  </si>
  <si>
    <t>Thinking</t>
  </si>
  <si>
    <t>Thoughts &amp; Ideas</t>
  </si>
  <si>
    <t>Tools</t>
  </si>
  <si>
    <t>Transport?</t>
  </si>
  <si>
    <t>Writing</t>
  </si>
  <si>
    <t>Agriculture</t>
  </si>
  <si>
    <t>Ancestry</t>
  </si>
  <si>
    <t>Bedroom</t>
  </si>
  <si>
    <t>Caring</t>
  </si>
  <si>
    <t>Domestication</t>
  </si>
  <si>
    <t>Emotional Attachment</t>
  </si>
  <si>
    <t>Emotional Responses</t>
  </si>
  <si>
    <t>Emotional Security</t>
  </si>
  <si>
    <t>Emotions</t>
  </si>
  <si>
    <t>Empathy</t>
  </si>
  <si>
    <t>Fears</t>
  </si>
  <si>
    <t>Feelings &amp; Mood</t>
  </si>
  <si>
    <t>Female Fertility</t>
  </si>
  <si>
    <t>Foundations</t>
  </si>
  <si>
    <t>Headquarters</t>
  </si>
  <si>
    <t>Home Life</t>
  </si>
  <si>
    <t>Homeland &amp; Country</t>
  </si>
  <si>
    <t>Hometown</t>
  </si>
  <si>
    <t>House &amp; Home</t>
  </si>
  <si>
    <t xml:space="preserve">Inner Peace </t>
  </si>
  <si>
    <t>Instincts</t>
  </si>
  <si>
    <t>Intuition</t>
  </si>
  <si>
    <t>Land</t>
  </si>
  <si>
    <t>Mother &amp; Family</t>
  </si>
  <si>
    <t>Mother Figures</t>
  </si>
  <si>
    <t>Motherhood</t>
  </si>
  <si>
    <t>Nurturing &amp; Care</t>
  </si>
  <si>
    <t>Personal</t>
  </si>
  <si>
    <t>Personal &amp; Privat things</t>
  </si>
  <si>
    <t>Private</t>
  </si>
  <si>
    <t>Real Estate</t>
  </si>
  <si>
    <t>Response</t>
  </si>
  <si>
    <t>Roots</t>
  </si>
  <si>
    <t>Safety</t>
  </si>
  <si>
    <t>Security</t>
  </si>
  <si>
    <t>Soul</t>
  </si>
  <si>
    <t>Subconscious</t>
  </si>
  <si>
    <t>Upbringing</t>
  </si>
  <si>
    <t>Stomach</t>
  </si>
  <si>
    <t>Gut feeling (something doesn’t feel right)</t>
  </si>
  <si>
    <t xml:space="preserve">Natural instinct </t>
  </si>
  <si>
    <t>Rip cage</t>
  </si>
  <si>
    <t xml:space="preserve">Habits (South NODE – your default system) </t>
  </si>
  <si>
    <t>Memory</t>
  </si>
  <si>
    <t xml:space="preserve">Sentimental security </t>
  </si>
  <si>
    <t>Farming</t>
  </si>
  <si>
    <t>Planting seeds</t>
  </si>
  <si>
    <t>Working the ground</t>
  </si>
  <si>
    <t xml:space="preserve">Tenderness, Sadness, Nostalgia </t>
  </si>
  <si>
    <t>Grandmothers (more mother)</t>
  </si>
  <si>
    <t>Amusement</t>
  </si>
  <si>
    <t>Appreciation</t>
  </si>
  <si>
    <t>Celebration</t>
  </si>
  <si>
    <t>Character</t>
  </si>
  <si>
    <t>Children</t>
  </si>
  <si>
    <t>Confidence</t>
  </si>
  <si>
    <t>Core Personality</t>
  </si>
  <si>
    <t>Creative Expression</t>
  </si>
  <si>
    <t>Ego</t>
  </si>
  <si>
    <t>Existence</t>
  </si>
  <si>
    <t>Expression</t>
  </si>
  <si>
    <t>Father</t>
  </si>
  <si>
    <t>Father Figures</t>
  </si>
  <si>
    <t>Fertility</t>
  </si>
  <si>
    <t>Fitness</t>
  </si>
  <si>
    <t>Fun</t>
  </si>
  <si>
    <t>Gambling</t>
  </si>
  <si>
    <t>Happiness</t>
  </si>
  <si>
    <t>Heat</t>
  </si>
  <si>
    <t>Hobbies</t>
  </si>
  <si>
    <t>Inner Child</t>
  </si>
  <si>
    <t>Joy</t>
  </si>
  <si>
    <t>Leadership</t>
  </si>
  <si>
    <t>Life Force</t>
  </si>
  <si>
    <t>Lifestyle</t>
  </si>
  <si>
    <t>Pleasure</t>
  </si>
  <si>
    <t>Pride</t>
  </si>
  <si>
    <t>Puppy Love</t>
  </si>
  <si>
    <t>Purpose</t>
  </si>
  <si>
    <t>Recreation</t>
  </si>
  <si>
    <t>Rick</t>
  </si>
  <si>
    <t>Romance</t>
  </si>
  <si>
    <t>Sport</t>
  </si>
  <si>
    <t>Validation</t>
  </si>
  <si>
    <t>Vitality</t>
  </si>
  <si>
    <t>Willpower</t>
  </si>
  <si>
    <t>Young Age</t>
  </si>
  <si>
    <t>Royalty</t>
  </si>
  <si>
    <t>Actor</t>
  </si>
  <si>
    <t>Spotlight</t>
  </si>
  <si>
    <t>Drama</t>
  </si>
  <si>
    <t>Play</t>
  </si>
  <si>
    <t>Games</t>
  </si>
  <si>
    <t>Life</t>
  </si>
  <si>
    <t xml:space="preserve">Exist </t>
  </si>
  <si>
    <t>Personal Creative Expression</t>
  </si>
  <si>
    <t>Alive</t>
  </si>
  <si>
    <t>Childhood</t>
  </si>
  <si>
    <t xml:space="preserve">Youth </t>
  </si>
  <si>
    <t>Express</t>
  </si>
  <si>
    <t xml:space="preserve">Inner light </t>
  </si>
  <si>
    <t>Happy</t>
  </si>
  <si>
    <t>Shine</t>
  </si>
  <si>
    <t>The way you shine</t>
  </si>
  <si>
    <t>The center of your personal universe</t>
  </si>
  <si>
    <t xml:space="preserve">Animates </t>
  </si>
  <si>
    <t>Heart</t>
  </si>
  <si>
    <t>Analytical Skills</t>
  </si>
  <si>
    <t>Analyzation</t>
  </si>
  <si>
    <t>Chores</t>
  </si>
  <si>
    <t>Critical Thinking</t>
  </si>
  <si>
    <t xml:space="preserve">Criticism </t>
  </si>
  <si>
    <t>Critique</t>
  </si>
  <si>
    <t>Day to Day</t>
  </si>
  <si>
    <t>Details</t>
  </si>
  <si>
    <t>Efficiency</t>
  </si>
  <si>
    <t>Employee(s)</t>
  </si>
  <si>
    <t>Healing Nutrition</t>
  </si>
  <si>
    <t>Health</t>
  </si>
  <si>
    <t>Job</t>
  </si>
  <si>
    <t>Mind (outward)</t>
  </si>
  <si>
    <t>Nervous System</t>
  </si>
  <si>
    <t>Nutrition</t>
  </si>
  <si>
    <t>Organization</t>
  </si>
  <si>
    <t>Perfectionism</t>
  </si>
  <si>
    <t>Precision</t>
  </si>
  <si>
    <t>Reality</t>
  </si>
  <si>
    <t>Refinement</t>
  </si>
  <si>
    <t>Routine</t>
  </si>
  <si>
    <t>Service</t>
  </si>
  <si>
    <t>Service to others</t>
  </si>
  <si>
    <t>Small animals</t>
  </si>
  <si>
    <t>The Material World</t>
  </si>
  <si>
    <t>Utility</t>
  </si>
  <si>
    <t>Work</t>
  </si>
  <si>
    <t>Work Environment</t>
  </si>
  <si>
    <t>Aesthetics</t>
  </si>
  <si>
    <t>Balance</t>
  </si>
  <si>
    <t>Books</t>
  </si>
  <si>
    <t>Business</t>
  </si>
  <si>
    <t>Connecting to others</t>
  </si>
  <si>
    <t>Connection</t>
  </si>
  <si>
    <t>Conversation</t>
  </si>
  <si>
    <t>Creative talents</t>
  </si>
  <si>
    <t>Decor</t>
  </si>
  <si>
    <t>Design</t>
  </si>
  <si>
    <t>Diplomacy</t>
  </si>
  <si>
    <t>Elegance</t>
  </si>
  <si>
    <t>Equality</t>
  </si>
  <si>
    <t>Fashion</t>
  </si>
  <si>
    <t>Glamour</t>
  </si>
  <si>
    <t>Grace</t>
  </si>
  <si>
    <t>Harmoney</t>
  </si>
  <si>
    <t>Hormones</t>
  </si>
  <si>
    <t>Justice</t>
  </si>
  <si>
    <t>Legal Matters</t>
  </si>
  <si>
    <t>Listening</t>
  </si>
  <si>
    <t>Love</t>
  </si>
  <si>
    <t>Lungs</t>
  </si>
  <si>
    <t>Mediation</t>
  </si>
  <si>
    <t>Morals</t>
  </si>
  <si>
    <t>One-on-one</t>
  </si>
  <si>
    <t>One-to-public</t>
  </si>
  <si>
    <t>Owning/starting your own business</t>
  </si>
  <si>
    <t>Partnership</t>
  </si>
  <si>
    <t>Peace</t>
  </si>
  <si>
    <t>Receiving</t>
  </si>
  <si>
    <t>Reciprocation</t>
  </si>
  <si>
    <t>Relationship</t>
  </si>
  <si>
    <t>Sensual Pleasure</t>
  </si>
  <si>
    <t>Sensuality</t>
  </si>
  <si>
    <t>Style</t>
  </si>
  <si>
    <t>Tact</t>
  </si>
  <si>
    <t>The Devine Feminine</t>
  </si>
  <si>
    <t>Value (outward)</t>
  </si>
  <si>
    <t>Abuse</t>
  </si>
  <si>
    <t>Borrowing and landing money</t>
  </si>
  <si>
    <t>Change</t>
  </si>
  <si>
    <t>Confinement</t>
  </si>
  <si>
    <t>Crime &amp; Mystery</t>
  </si>
  <si>
    <t>Cycles</t>
  </si>
  <si>
    <t>Darkness</t>
  </si>
  <si>
    <t>Debt</t>
  </si>
  <si>
    <t>Decay &amp; Poop</t>
  </si>
  <si>
    <t>Deep Bonds</t>
  </si>
  <si>
    <t>Deep Healing</t>
  </si>
  <si>
    <t>Depth</t>
  </si>
  <si>
    <t>Dust &amp; Debris</t>
  </si>
  <si>
    <t>Erotic</t>
  </si>
  <si>
    <t>Inheritance</t>
  </si>
  <si>
    <t>Inner Drive</t>
  </si>
  <si>
    <t>Inner power</t>
  </si>
  <si>
    <t>Intimacy</t>
  </si>
  <si>
    <t>Investigation</t>
  </si>
  <si>
    <t>Jealousy</t>
  </si>
  <si>
    <t>Joint Ventures</t>
  </si>
  <si>
    <t>Kinks</t>
  </si>
  <si>
    <t>Manipulation</t>
  </si>
  <si>
    <t>Niche &amp; Taboo</t>
  </si>
  <si>
    <t>Obsession</t>
  </si>
  <si>
    <t>Occults</t>
  </si>
  <si>
    <t>Past</t>
  </si>
  <si>
    <t>Piercing</t>
  </si>
  <si>
    <t>Power</t>
  </si>
  <si>
    <t>Power Struggles</t>
  </si>
  <si>
    <t>Psychology</t>
  </si>
  <si>
    <t>Rage</t>
  </si>
  <si>
    <t>Rebirth</t>
  </si>
  <si>
    <t>Regeneration</t>
  </si>
  <si>
    <t>Repeating the same cycles</t>
  </si>
  <si>
    <t>Reproduction</t>
  </si>
  <si>
    <t>Reproductive</t>
  </si>
  <si>
    <t>Secrecy</t>
  </si>
  <si>
    <t>Secrets</t>
  </si>
  <si>
    <t>Shared Resources</t>
  </si>
  <si>
    <t>Tattoos</t>
  </si>
  <si>
    <t>Taxes</t>
  </si>
  <si>
    <t>Therapy</t>
  </si>
  <si>
    <t>Things hidden</t>
  </si>
  <si>
    <t>Transformation</t>
  </si>
  <si>
    <t>Trauma</t>
  </si>
  <si>
    <t>Trust</t>
  </si>
  <si>
    <t>Abundance</t>
  </si>
  <si>
    <t>Accumulation</t>
  </si>
  <si>
    <t>Adventure</t>
  </si>
  <si>
    <t>Advertising &amp; Marketing</t>
  </si>
  <si>
    <t>Beliefs</t>
  </si>
  <si>
    <t>Big Picture</t>
  </si>
  <si>
    <t>Coaching</t>
  </si>
  <si>
    <t>Consulting</t>
  </si>
  <si>
    <t>Culture</t>
  </si>
  <si>
    <t>Distance</t>
  </si>
  <si>
    <t>Dramatics</t>
  </si>
  <si>
    <t>Ethics &amp; Morality</t>
  </si>
  <si>
    <t>Expansion</t>
  </si>
  <si>
    <t>Experience</t>
  </si>
  <si>
    <t>Exploration</t>
  </si>
  <si>
    <t>Exploration &amp; Adventure</t>
  </si>
  <si>
    <t>Foreign</t>
  </si>
  <si>
    <t>Foreign Dealings</t>
  </si>
  <si>
    <t>Growth</t>
  </si>
  <si>
    <t>Higer Education &amp; College</t>
  </si>
  <si>
    <t>Higer Learning</t>
  </si>
  <si>
    <t>Hips</t>
  </si>
  <si>
    <t>Hypotheticals</t>
  </si>
  <si>
    <t>Imagination</t>
  </si>
  <si>
    <t>In-laws</t>
  </si>
  <si>
    <t>Internation Affairs</t>
  </si>
  <si>
    <t>Journey</t>
  </si>
  <si>
    <t>Law</t>
  </si>
  <si>
    <t>Liver</t>
  </si>
  <si>
    <t>Long distance travel</t>
  </si>
  <si>
    <t>Luck</t>
  </si>
  <si>
    <t>Meaning</t>
  </si>
  <si>
    <t>Mentorship</t>
  </si>
  <si>
    <t>Opinions</t>
  </si>
  <si>
    <t>Opportunity</t>
  </si>
  <si>
    <t>Optimism</t>
  </si>
  <si>
    <t>Overindulgence</t>
  </si>
  <si>
    <t>Philosophy</t>
  </si>
  <si>
    <t>Place in the world</t>
  </si>
  <si>
    <t>Politics</t>
  </si>
  <si>
    <t>Prospective</t>
  </si>
  <si>
    <t>Religion</t>
  </si>
  <si>
    <t>Seeking Knowladge</t>
  </si>
  <si>
    <t>Story</t>
  </si>
  <si>
    <t>Storytelling</t>
  </si>
  <si>
    <t>Teaching</t>
  </si>
  <si>
    <t>Thighs</t>
  </si>
  <si>
    <t>What ifs</t>
  </si>
  <si>
    <t>Wisdom</t>
  </si>
  <si>
    <t xml:space="preserve">Overwhelming  </t>
  </si>
  <si>
    <t xml:space="preserve">Global </t>
  </si>
  <si>
    <t>Worldwide</t>
  </si>
  <si>
    <t>Extra</t>
  </si>
  <si>
    <t>Laughter</t>
  </si>
  <si>
    <t>Too much</t>
  </si>
  <si>
    <t>Theatrical</t>
  </si>
  <si>
    <t>Mystical</t>
  </si>
  <si>
    <t>Achievement</t>
  </si>
  <si>
    <t>Accomplishment</t>
  </si>
  <si>
    <t>Age</t>
  </si>
  <si>
    <t>Authority</t>
  </si>
  <si>
    <t>Best</t>
  </si>
  <si>
    <t>Bones</t>
  </si>
  <si>
    <t>Bosses</t>
  </si>
  <si>
    <t>Boundaries &amp; Limits</t>
  </si>
  <si>
    <t>Career (what field)</t>
  </si>
  <si>
    <t>Celebrities</t>
  </si>
  <si>
    <t>Consequence</t>
  </si>
  <si>
    <t>Construction</t>
  </si>
  <si>
    <t>Physical Structures</t>
  </si>
  <si>
    <t>Corporations</t>
  </si>
  <si>
    <t>Dedication</t>
  </si>
  <si>
    <t>Delays</t>
  </si>
  <si>
    <t>Discipline</t>
  </si>
  <si>
    <t>Elders</t>
  </si>
  <si>
    <t>Endurance</t>
  </si>
  <si>
    <t>Focus</t>
  </si>
  <si>
    <t>Formula (in math)</t>
  </si>
  <si>
    <t>Goals</t>
  </si>
  <si>
    <t>Government</t>
  </si>
  <si>
    <t>Hierarchy</t>
  </si>
  <si>
    <t>History</t>
  </si>
  <si>
    <t>Large Organization</t>
  </si>
  <si>
    <t>Limitations</t>
  </si>
  <si>
    <t>Long term goals</t>
  </si>
  <si>
    <t>Management</t>
  </si>
  <si>
    <t>Maturity</t>
  </si>
  <si>
    <t>Mentor</t>
  </si>
  <si>
    <t>Milestone</t>
  </si>
  <si>
    <t>Nails</t>
  </si>
  <si>
    <t>Nose</t>
  </si>
  <si>
    <t>Past Systems</t>
  </si>
  <si>
    <t>Patience</t>
  </si>
  <si>
    <t>Perseverance</t>
  </si>
  <si>
    <t>Professionalism</t>
  </si>
  <si>
    <t>Public image</t>
  </si>
  <si>
    <t>Regulations</t>
  </si>
  <si>
    <t>Reputation</t>
  </si>
  <si>
    <t>Respect</t>
  </si>
  <si>
    <t>Responsibility</t>
  </si>
  <si>
    <t>Restrictions</t>
  </si>
  <si>
    <t>Rules</t>
  </si>
  <si>
    <t>Skin</t>
  </si>
  <si>
    <t>Spine</t>
  </si>
  <si>
    <t>Structure</t>
  </si>
  <si>
    <t>Superiors</t>
  </si>
  <si>
    <t>System</t>
  </si>
  <si>
    <t>Teacher</t>
  </si>
  <si>
    <t>Teeth</t>
  </si>
  <si>
    <t>Time</t>
  </si>
  <si>
    <t>Time management</t>
  </si>
  <si>
    <t>Tradition</t>
  </si>
  <si>
    <t>Activism</t>
  </si>
  <si>
    <t>Aliens</t>
  </si>
  <si>
    <t>Alternative Lifestyle</t>
  </si>
  <si>
    <t>Astrology</t>
  </si>
  <si>
    <t>Automation</t>
  </si>
  <si>
    <t>Aviation &amp; Flying</t>
  </si>
  <si>
    <t>Breakthrough</t>
  </si>
  <si>
    <t>Clubs</t>
  </si>
  <si>
    <t>Community</t>
  </si>
  <si>
    <t>Detachment</t>
  </si>
  <si>
    <t>Dreams (future)</t>
  </si>
  <si>
    <t>Electricity &amp; Technology</t>
  </si>
  <si>
    <t>Elevation</t>
  </si>
  <si>
    <t>Engineering</t>
  </si>
  <si>
    <t>Erratic</t>
  </si>
  <si>
    <t>Forward Thinking</t>
  </si>
  <si>
    <t>Freedom</t>
  </si>
  <si>
    <t>Friends groups</t>
  </si>
  <si>
    <t>Future</t>
  </si>
  <si>
    <t>Genius</t>
  </si>
  <si>
    <t>Groups &amp; Teams</t>
  </si>
  <si>
    <t>Holistic</t>
  </si>
  <si>
    <t>Hopes</t>
  </si>
  <si>
    <t>How do things work</t>
  </si>
  <si>
    <t>Humanitarianism</t>
  </si>
  <si>
    <t>Individual</t>
  </si>
  <si>
    <t>Innovation</t>
  </si>
  <si>
    <t>Intergration</t>
  </si>
  <si>
    <t>Internet</t>
  </si>
  <si>
    <t>Lone Wolf</t>
  </si>
  <si>
    <t>Mechanics</t>
  </si>
  <si>
    <t>Networking</t>
  </si>
  <si>
    <t>Objectivity</t>
  </si>
  <si>
    <t>Originality &amp; Invention</t>
  </si>
  <si>
    <t>Outcast &amp; Outsider</t>
  </si>
  <si>
    <t>Progressivism</t>
  </si>
  <si>
    <t>Questions</t>
  </si>
  <si>
    <t>Quick change</t>
  </si>
  <si>
    <t>Randomness</t>
  </si>
  <si>
    <t>Rebellion</t>
  </si>
  <si>
    <t>Revolution</t>
  </si>
  <si>
    <t>Science</t>
  </si>
  <si>
    <t>Small Organizations</t>
  </si>
  <si>
    <t>Social events</t>
  </si>
  <si>
    <t>Social Media</t>
  </si>
  <si>
    <t>Sudden Change</t>
  </si>
  <si>
    <t>Teams</t>
  </si>
  <si>
    <t>Technology</t>
  </si>
  <si>
    <t>Unconventional</t>
  </si>
  <si>
    <t>Understanding</t>
  </si>
  <si>
    <t>Uniqueness</t>
  </si>
  <si>
    <t>Wind</t>
  </si>
  <si>
    <t>Alcoholism</t>
  </si>
  <si>
    <t>Background</t>
  </si>
  <si>
    <t>BTS</t>
  </si>
  <si>
    <t>Closing of cycles</t>
  </si>
  <si>
    <t>Compassion &amp; Charity</t>
  </si>
  <si>
    <t>Connection to God</t>
  </si>
  <si>
    <t>Creativity</t>
  </si>
  <si>
    <t>Dance</t>
  </si>
  <si>
    <t>Delusion</t>
  </si>
  <si>
    <t>Disappearing</t>
  </si>
  <si>
    <t>Dissolutions</t>
  </si>
  <si>
    <t>Dreams</t>
  </si>
  <si>
    <t>Escapism</t>
  </si>
  <si>
    <t>Fantasy</t>
  </si>
  <si>
    <t>Fear</t>
  </si>
  <si>
    <t xml:space="preserve">Feet </t>
  </si>
  <si>
    <t>Film</t>
  </si>
  <si>
    <t>Fluidity</t>
  </si>
  <si>
    <t>Fog &amp; Mist</t>
  </si>
  <si>
    <t>Haze &amp; Confusion</t>
  </si>
  <si>
    <t>Hospitals</t>
  </si>
  <si>
    <t>Idealism</t>
  </si>
  <si>
    <t>Illness</t>
  </si>
  <si>
    <t>Illusion</t>
  </si>
  <si>
    <t>Inspiration</t>
  </si>
  <si>
    <t>Intangible Creativity</t>
  </si>
  <si>
    <t>Isolation</t>
  </si>
  <si>
    <t>Jails / Prisons</t>
  </si>
  <si>
    <t>Lies &amp; Deception</t>
  </si>
  <si>
    <t>Loss</t>
  </si>
  <si>
    <t>Medical</t>
  </si>
  <si>
    <t>Mental Illness</t>
  </si>
  <si>
    <t>Music &amp; Media</t>
  </si>
  <si>
    <t>Painting</t>
  </si>
  <si>
    <t>Photography &amp; Pictures</t>
  </si>
  <si>
    <t>Psychic Abilities</t>
  </si>
  <si>
    <t>Psychic Connection</t>
  </si>
  <si>
    <t>Reflections</t>
  </si>
  <si>
    <t>Sacrifice</t>
  </si>
  <si>
    <t>Sensitivity</t>
  </si>
  <si>
    <t>Spiritualism</t>
  </si>
  <si>
    <t>Spirituality</t>
  </si>
  <si>
    <t>Substances</t>
  </si>
  <si>
    <t>Unconscious</t>
  </si>
  <si>
    <t>Undoing</t>
  </si>
  <si>
    <t>Unknown</t>
  </si>
  <si>
    <t>Viruses</t>
  </si>
  <si>
    <t>Water</t>
  </si>
  <si>
    <t>Water and Waves</t>
  </si>
  <si>
    <t>AND</t>
  </si>
  <si>
    <t xml:space="preserve">Sign:  </t>
  </si>
  <si>
    <t xml:space="preserve">Planet: </t>
  </si>
  <si>
    <t xml:space="preserve">Degree: </t>
  </si>
  <si>
    <t xml:space="preserve">Rising: </t>
  </si>
  <si>
    <t>with</t>
  </si>
  <si>
    <t>base</t>
  </si>
  <si>
    <t>in</t>
  </si>
  <si>
    <t>DECAN</t>
  </si>
  <si>
    <t xml:space="preserve"> Sagittarius decan</t>
  </si>
  <si>
    <t>and Neptune</t>
  </si>
  <si>
    <t>Sign4</t>
  </si>
  <si>
    <t>Sign6</t>
  </si>
  <si>
    <t>Sagittarius spark</t>
  </si>
  <si>
    <t>ET</t>
  </si>
  <si>
    <t>Your sentence:</t>
  </si>
  <si>
    <t>DATA-do not touch</t>
  </si>
  <si>
    <t>THROUGH</t>
  </si>
  <si>
    <t>DIRECTED INTO</t>
  </si>
  <si>
    <t>EXPRESSED THROUGH</t>
  </si>
  <si>
    <t>Planet:</t>
  </si>
  <si>
    <t>Spark:</t>
  </si>
  <si>
    <t>Decan:</t>
  </si>
  <si>
    <t>is:</t>
  </si>
  <si>
    <t>expressed th:</t>
  </si>
  <si>
    <t>with base</t>
  </si>
  <si>
    <t>sign:</t>
  </si>
  <si>
    <t>house:</t>
  </si>
  <si>
    <t>2nd base</t>
  </si>
  <si>
    <t>RULER</t>
  </si>
  <si>
    <t>Ruler</t>
  </si>
  <si>
    <t>Intuition based on feelings and mood through dreams directed into internal comfort expressed through accomplishment</t>
  </si>
  <si>
    <t>Intuition is based on emotions and dreams, leading to personal comfort and accomplishment. 
Intuition based on dreams can lead to inward comfort and accomplishment.
Intuition through dreams can lead to inward comfort and accomplishment.</t>
  </si>
  <si>
    <t>Action based on core personality through direct personal energy directed into	breakthrough expressed through design</t>
  </si>
  <si>
    <t>Identity (internal) based on The Devine Feminine through Ideas and Discipline through Analytical Skills directed into Dance expressed through Inner power</t>
  </si>
  <si>
    <t>Your internal identity is rooted in the Divine Feminine, which channels ideas and discipline through analytical skills, ultimately directing your energy into dance as a form of expression, showcasing your inner power.</t>
  </si>
  <si>
    <t>Personal energy is devoted on achieving breakthroughs through design, reflecting inner personality.
Using personal energy to achieve breakthroughs through design, based on core personality.
Personal energy is directed towards breakthroughs through design, based on key personality traits.</t>
  </si>
  <si>
    <t>Your statement highlights the importance of harnessing one's core personality and personal energy to create breakthrough innovations through design. By channeling authentic self-expression and intrinsic motivations into the design process, you can foster unique, impactful solutions that resonate deeply and drive meaningful progress. This approach emphasizes the power of self-awareness and energetic authenticity as catalysts for breakthrough creativity in design.</t>
  </si>
  <si>
    <t>The text emphasizes that leveraging one's core personality and authentic energy in the design process can lead to innovative and impactful solutions, with self-awareness and authenticity serving as key drivers of creative breakthroughs.</t>
  </si>
  <si>
    <t>Stolpec1</t>
  </si>
  <si>
    <t>Stolpec2</t>
  </si>
  <si>
    <t>Ruling</t>
  </si>
  <si>
    <t>Ruler:</t>
  </si>
  <si>
    <t>Sentence</t>
  </si>
  <si>
    <t>C15&amp;" "&amp;E15&amp;" "&amp;F15&amp;" "&amp;H15&amp;" "&amp;I15&amp;" "&amp;K15&amp;" "&amp;L15&amp;" "&amp;O15&amp;" "&amp;Q15</t>
  </si>
  <si>
    <t>words together</t>
  </si>
  <si>
    <t>RULER:</t>
  </si>
  <si>
    <t>BASED ON:</t>
  </si>
  <si>
    <t>THROUGH:</t>
  </si>
  <si>
    <t>True Placement:</t>
  </si>
  <si>
    <t>PLANET:</t>
  </si>
  <si>
    <t>Sentence:</t>
  </si>
  <si>
    <t>Sagittarius rising with URANUS in Sagittarius at 18°</t>
  </si>
  <si>
    <t>URANUS is Aries, with Libra spark in Aries decan, expressed through Sagittarius with Gemini base (through Aquarius)</t>
  </si>
  <si>
    <t>JUPITER in Gemini, with Gemini spark in Gemini decan, expressed through Aquarius with Aries base (through Sagittarius)</t>
  </si>
  <si>
    <t xml:space="preserve"> based on   through  directed into  expressed through  </t>
  </si>
  <si>
    <t>Book</t>
  </si>
  <si>
    <t>Books (reading)</t>
  </si>
  <si>
    <t>Accounting</t>
  </si>
  <si>
    <t xml:space="preserve">Ruler: </t>
  </si>
  <si>
    <t xml:space="preserve">is: </t>
  </si>
  <si>
    <t xml:space="preserve">Spark: </t>
  </si>
  <si>
    <t xml:space="preserve">Decan: </t>
  </si>
  <si>
    <t xml:space="preserve">express: </t>
  </si>
  <si>
    <t xml:space="preserve">going into </t>
  </si>
  <si>
    <t>Sentence1</t>
  </si>
  <si>
    <t>Sentence2</t>
  </si>
  <si>
    <t>Sentence2:</t>
  </si>
  <si>
    <t>Sentence1:</t>
  </si>
  <si>
    <t>Sagittarius rising with MARS in Libra at 28°</t>
  </si>
  <si>
    <t>Action based on  Happiness through Challenge directed into Community expressed through  Books (reading)</t>
  </si>
  <si>
    <t>Action based on  Happiness through Challenge directed into Community expressed through  Books (reading) going into Drive (with Creativity and Movement), expressed through Opportunity.</t>
  </si>
  <si>
    <t>Practice3</t>
  </si>
  <si>
    <t>Practice2</t>
  </si>
  <si>
    <t>Stavek1</t>
  </si>
  <si>
    <t>Stavek2</t>
  </si>
  <si>
    <t>MARS is Aquarius, with Leo spark in Gemini decan, expressed through Libra with Leo base (through Aries)</t>
  </si>
  <si>
    <t>VENUS in Aries, with Pisces spark in Aries decan, expressed through Sagittarius with Virgo and Aquarius base (through Taurus and Libra)</t>
  </si>
  <si>
    <t>Sagittarius rising with MERCURY in Scorpio at 29°</t>
  </si>
  <si>
    <t>MERCURY is Pisces, with Pisces spark in Cancer decan, expressed through Scorpio with Libra and Capricorn base (through Gemini and Virgo)</t>
  </si>
  <si>
    <t>PLUTO in Pisces, with Sagittarius spark in Scorpio decan, expressed through Scorpio with Pisces base (through Scorpio)</t>
  </si>
  <si>
    <t>Mindset based on  (Beauty and Career (what field)) through (Communication and Efficiency) directed into Inspiration expressed through  Power.</t>
  </si>
  <si>
    <t>Mindset based on  (Beauty and Career (what field)) through (Communication and Efficiency) directed into Inspiration expressed through  Power. going into Creativity (with Culture and Psychology), expressed through Crime &amp; Mystery.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</si>
</sst>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Calibri"/>
      <family val="2"/>
      <scheme val="minor"/>
    </font>
    <font>
      <b/>
      <sz val="11"/>
      <color theme="1"/>
      <name val="Calibri"/>
      <family val="2"/>
      <scheme val="minor"/>
    </font>
    <font>
      <sz val="11"/>
      <color theme="1"/>
      <name val="Symbol"/>
      <family val="1"/>
      <charset val="2"/>
    </font>
    <font>
      <sz val="11"/>
      <color rgb="FF000000"/>
      <name val="Symbol"/>
      <family val="1"/>
      <charset val="2"/>
    </font>
    <font>
      <sz val="11"/>
      <color rgb="FF000000"/>
      <name val="Calibri"/>
      <family val="2"/>
      <scheme val="minor"/>
    </font>
    <font>
      <sz val="11"/>
      <color theme="1"/>
      <name val="ADLaM Display"/>
    </font>
    <font>
      <sz val="36"/>
      <color theme="1"/>
      <name val="Amasis MT Pro Black"/>
      <family val="1"/>
    </font>
    <font>
      <sz val="11"/>
      <color theme="0"/>
      <name val="Calibri"/>
      <family val="2"/>
      <scheme val="minor"/>
    </font>
    <font>
      <b/>
      <sz val="9"/>
      <color theme="1"/>
      <name val="Calibri"/>
      <family val="2"/>
      <scheme val="minor"/>
    </font>
    <font>
      <b/>
      <u/>
      <sz val="8"/>
      <color theme="1"/>
      <name val="Calibri"/>
      <family val="2"/>
      <scheme val="minor"/>
    </font>
    <font>
      <sz val="9"/>
      <color theme="1"/>
      <name val="Calibri"/>
      <family val="2"/>
      <scheme val="minor"/>
    </font>
    <font>
      <sz val="10"/>
      <color theme="1"/>
      <name val="Calibri"/>
      <family val="2"/>
      <scheme val="minor"/>
    </font>
    <font>
      <vertAlign val="superscript"/>
      <sz val="10"/>
      <color theme="1"/>
      <name val="Calibri"/>
      <family val="2"/>
      <scheme val="minor"/>
    </font>
    <font>
      <b/>
      <sz val="11"/>
      <color theme="1"/>
      <name val="Abadi"/>
      <family val="2"/>
    </font>
    <font>
      <sz val="28"/>
      <name val="Amasis MT Pro Black"/>
      <family val="1"/>
    </font>
    <font>
      <sz val="11"/>
      <color theme="1"/>
      <name val="Abadi"/>
      <family val="2"/>
    </font>
    <font>
      <sz val="11"/>
      <color rgb="FFFFFFFF"/>
      <name val="Calibri"/>
      <family val="2"/>
      <scheme val="minor"/>
    </font>
    <font>
      <sz val="11"/>
      <color rgb="FFA66500"/>
      <name val="Calibri"/>
      <family val="2"/>
      <scheme val="minor"/>
    </font>
    <font>
      <b/>
      <u/>
      <sz val="11"/>
      <color theme="1"/>
      <name val="Calibri"/>
      <family val="2"/>
      <scheme val="minor"/>
    </font>
    <font>
      <b/>
      <sz val="11"/>
      <color theme="1"/>
      <name val="Aptos Display"/>
      <family val="2"/>
    </font>
    <font>
      <sz val="11"/>
      <color theme="1"/>
      <name val="Aptos Display"/>
      <family val="2"/>
    </font>
    <font>
      <b/>
      <sz val="12"/>
      <color theme="1"/>
      <name val="Aptos Display"/>
      <family val="2"/>
    </font>
    <font>
      <sz val="10"/>
      <color theme="1"/>
      <name val="Aptos Display"/>
      <family val="2"/>
    </font>
    <font>
      <b/>
      <sz val="11"/>
      <color rgb="FFA66500"/>
      <name val="Calibri"/>
      <family val="2"/>
      <scheme val="minor"/>
    </font>
    <font>
      <sz val="11"/>
      <name val="Calibri"/>
      <family val="2"/>
      <scheme val="minor"/>
    </font>
    <font>
      <b/>
      <sz val="12"/>
      <color rgb="FFA66500"/>
      <name val="Abadi"/>
      <family val="2"/>
    </font>
    <font>
      <sz val="8"/>
      <name val="Calibri"/>
      <family val="2"/>
      <scheme val="minor"/>
    </font>
    <font>
      <b/>
      <sz val="11"/>
      <color rgb="FFCC9900"/>
      <name val="Aptos Display"/>
      <family val="2"/>
    </font>
    <font>
      <sz val="11"/>
      <color rgb="FFA66500"/>
      <name val="Aptos Display"/>
      <family val="2"/>
    </font>
    <font>
      <b/>
      <u/>
      <sz val="11"/>
      <name val="Calibri"/>
      <family val="2"/>
      <scheme val="minor"/>
    </font>
    <font>
      <b/>
      <sz val="12"/>
      <color rgb="FFCC9900"/>
      <name val="Aptos Display"/>
      <family val="2"/>
    </font>
    <font>
      <sz val="11"/>
      <name val="Aptos Display"/>
      <family val="2"/>
    </font>
    <font>
      <sz val="11"/>
      <color theme="0" tint="-0.249977111117893"/>
      <name val="Aptos Display"/>
      <family val="2"/>
    </font>
    <font>
      <b/>
      <sz val="11"/>
      <color theme="0" tint="-0.249977111117893"/>
      <name val="Aptos Display"/>
      <family val="2"/>
    </font>
    <font>
      <sz val="11"/>
      <name val="ADLaM Display"/>
    </font>
    <font>
      <sz val="11"/>
      <name val="Aptos"/>
      <family val="2"/>
    </font>
    <font>
      <b/>
      <sz val="11"/>
      <name val="Aptos Display"/>
      <family val="2"/>
    </font>
    <font>
      <b/>
      <sz val="12"/>
      <color theme="1"/>
      <name val="Calibri"/>
      <family val="2"/>
      <scheme val="minor"/>
    </font>
    <font>
      <b/>
      <sz val="14"/>
      <color theme="7" tint="-0.499984740745262"/>
      <name val="Aptos Display"/>
      <family val="2"/>
    </font>
    <font>
      <sz val="14"/>
      <color theme="1"/>
      <name val="BoldBrush"/>
      <family val="3"/>
    </font>
    <font>
      <sz val="11"/>
      <name val="Abadi"/>
      <family val="2"/>
    </font>
    <font>
      <sz val="11"/>
      <color theme="0" tint="-0.14999847407452621"/>
      <name val="Calibri"/>
      <family val="2"/>
      <scheme val="minor"/>
    </font>
    <font>
      <sz val="11"/>
      <color theme="0" tint="-0.14999847407452621"/>
      <name val="Aptos Display"/>
      <family val="2"/>
    </font>
    <font>
      <b/>
      <sz val="11"/>
      <color theme="0" tint="-0.14999847407452621"/>
      <name val="Aptos Display"/>
      <family val="2"/>
    </font>
    <font>
      <sz val="11"/>
      <color theme="1"/>
      <name val="Calibri Light"/>
      <family val="2"/>
      <scheme val="major"/>
    </font>
    <font>
      <sz val="11"/>
      <color theme="1"/>
      <name val="Calibri Light"/>
      <family val="2"/>
    </font>
    <font>
      <sz val="10"/>
      <color theme="1"/>
      <name val="Calibri Light"/>
      <family val="2"/>
      <scheme val="major"/>
    </font>
    <font>
      <sz val="11"/>
      <name val="Calibri Light"/>
      <family val="2"/>
      <scheme val="major"/>
    </font>
    <font>
      <b/>
      <sz val="20"/>
      <color theme="0"/>
      <name val="Bradley Hand ITC"/>
      <family val="4"/>
    </font>
    <font>
      <sz val="12"/>
      <color theme="1"/>
      <name val="ADLaM Display"/>
    </font>
    <font>
      <sz val="16"/>
      <color theme="0"/>
      <name val="Amasis MT Pro Black"/>
      <family val="1"/>
    </font>
  </fonts>
  <fills count="1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66"/>
        <bgColor indexed="64"/>
      </patternFill>
    </fill>
    <fill>
      <patternFill patternType="solid">
        <fgColor them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BFBFBF"/>
        <bgColor indexed="64"/>
      </patternFill>
    </fill>
    <fill>
      <patternFill patternType="solid">
        <fgColor theme="5" tint="0.59999389629810485"/>
        <bgColor indexed="64"/>
      </patternFill>
    </fill>
    <fill>
      <patternFill patternType="solid">
        <fgColor rgb="FFFACDB4"/>
        <bgColor indexed="64"/>
      </patternFill>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s>
  <borders count="116">
    <border>
      <left/>
      <right/>
      <top/>
      <bottom/>
      <diagonal/>
    </border>
    <border>
      <left style="thin">
        <color indexed="64"/>
      </left>
      <right style="thin">
        <color indexed="64"/>
      </right>
      <top style="thin">
        <color indexed="64"/>
      </top>
      <bottom style="thin">
        <color indexed="64"/>
      </bottom>
      <diagonal/>
    </border>
    <border>
      <left style="dashDotDot">
        <color auto="1"/>
      </left>
      <right style="dashDotDot">
        <color auto="1"/>
      </right>
      <top style="dashDotDot">
        <color auto="1"/>
      </top>
      <bottom/>
      <diagonal/>
    </border>
    <border>
      <left style="dashDotDot">
        <color auto="1"/>
      </left>
      <right style="dashDotDot">
        <color auto="1"/>
      </right>
      <top/>
      <bottom/>
      <diagonal/>
    </border>
    <border>
      <left style="dashDotDot">
        <color auto="1"/>
      </left>
      <right style="dashDotDot">
        <color auto="1"/>
      </right>
      <top/>
      <bottom style="dashDotDot">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style="dashDotDot">
        <color indexed="64"/>
      </right>
      <top style="medium">
        <color indexed="64"/>
      </top>
      <bottom style="medium">
        <color indexed="64"/>
      </bottom>
      <diagonal/>
    </border>
    <border>
      <left/>
      <right style="dashDot">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ck">
        <color auto="1"/>
      </top>
      <bottom style="thin">
        <color auto="1"/>
      </bottom>
      <diagonal/>
    </border>
    <border>
      <left/>
      <right/>
      <top style="thin">
        <color auto="1"/>
      </top>
      <bottom style="thick">
        <color auto="1"/>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thin">
        <color indexed="64"/>
      </right>
      <top/>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medium">
        <color indexed="64"/>
      </left>
      <right style="hair">
        <color indexed="64"/>
      </right>
      <top style="dashDot">
        <color indexed="64"/>
      </top>
      <bottom style="dashDot">
        <color indexed="64"/>
      </bottom>
      <diagonal/>
    </border>
    <border>
      <left style="hair">
        <color indexed="64"/>
      </left>
      <right style="dashDot">
        <color indexed="64"/>
      </right>
      <top style="dashDot">
        <color indexed="64"/>
      </top>
      <bottom style="dashDot">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DashDotDot">
        <color theme="0" tint="-0.14996795556505021"/>
      </left>
      <right/>
      <top style="mediumDashDotDot">
        <color theme="0" tint="-0.14996795556505021"/>
      </top>
      <bottom/>
      <diagonal/>
    </border>
    <border>
      <left/>
      <right/>
      <top style="mediumDashDotDot">
        <color theme="0" tint="-0.14996795556505021"/>
      </top>
      <bottom/>
      <diagonal/>
    </border>
    <border>
      <left/>
      <right style="mediumDashDotDot">
        <color theme="0" tint="-0.14996795556505021"/>
      </right>
      <top style="mediumDashDotDot">
        <color theme="0" tint="-0.14996795556505021"/>
      </top>
      <bottom/>
      <diagonal/>
    </border>
    <border>
      <left style="mediumDashDotDot">
        <color theme="0" tint="-0.14996795556505021"/>
      </left>
      <right/>
      <top/>
      <bottom/>
      <diagonal/>
    </border>
    <border>
      <left/>
      <right style="mediumDashDotDot">
        <color theme="0" tint="-0.14996795556505021"/>
      </right>
      <top/>
      <bottom/>
      <diagonal/>
    </border>
    <border>
      <left style="mediumDashDotDot">
        <color theme="0" tint="-0.14996795556505021"/>
      </left>
      <right/>
      <top/>
      <bottom style="mediumDashDotDot">
        <color theme="0" tint="-0.14996795556505021"/>
      </bottom>
      <diagonal/>
    </border>
    <border>
      <left/>
      <right/>
      <top/>
      <bottom style="mediumDashDotDot">
        <color theme="0" tint="-0.14996795556505021"/>
      </bottom>
      <diagonal/>
    </border>
    <border>
      <left/>
      <right style="mediumDashDotDot">
        <color theme="0" tint="-0.14996795556505021"/>
      </right>
      <top/>
      <bottom style="mediumDashDotDot">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theme="0" tint="-0.14993743705557422"/>
      </left>
      <right style="medium">
        <color theme="0" tint="-0.14993743705557422"/>
      </right>
      <top style="medium">
        <color theme="0" tint="-0.14993743705557422"/>
      </top>
      <bottom/>
      <diagonal/>
    </border>
    <border>
      <left style="medium">
        <color theme="0" tint="-0.14993743705557422"/>
      </left>
      <right style="medium">
        <color theme="0" tint="-0.14993743705557422"/>
      </right>
      <top/>
      <bottom/>
      <diagonal/>
    </border>
    <border>
      <left style="medium">
        <color theme="0" tint="-0.14993743705557422"/>
      </left>
      <right style="medium">
        <color theme="0" tint="-0.14993743705557422"/>
      </right>
      <top/>
      <bottom style="medium">
        <color theme="0" tint="-0.14993743705557422"/>
      </bottom>
      <diagonal/>
    </border>
    <border>
      <left style="medium">
        <color theme="0" tint="-0.14993743705557422"/>
      </left>
      <right style="thin">
        <color theme="0" tint="-0.14996795556505021"/>
      </right>
      <top style="medium">
        <color theme="0" tint="-0.14990691854609822"/>
      </top>
      <bottom/>
      <diagonal/>
    </border>
    <border>
      <left style="medium">
        <color theme="0" tint="-0.14993743705557422"/>
      </left>
      <right style="thin">
        <color theme="0" tint="-0.14996795556505021"/>
      </right>
      <top/>
      <bottom style="medium">
        <color theme="0" tint="-0.14990691854609822"/>
      </bottom>
      <diagonal/>
    </border>
    <border>
      <left style="mediumDashDotDot">
        <color theme="0" tint="-0.14996795556505021"/>
      </left>
      <right/>
      <top style="medium">
        <color theme="0" tint="-0.14993743705557422"/>
      </top>
      <bottom/>
      <diagonal/>
    </border>
    <border>
      <left/>
      <right/>
      <top style="medium">
        <color theme="0" tint="-0.14993743705557422"/>
      </top>
      <bottom/>
      <diagonal/>
    </border>
    <border>
      <left/>
      <right style="mediumDashDotDot">
        <color theme="0" tint="-0.14996795556505021"/>
      </right>
      <top style="medium">
        <color theme="0" tint="-0.14993743705557422"/>
      </top>
      <bottom/>
      <diagonal/>
    </border>
    <border>
      <left/>
      <right/>
      <top style="dashed">
        <color auto="1"/>
      </top>
      <bottom/>
      <diagonal/>
    </border>
    <border>
      <left/>
      <right/>
      <top style="dashed">
        <color auto="1"/>
      </top>
      <bottom style="hair">
        <color auto="1"/>
      </bottom>
      <diagonal/>
    </border>
    <border>
      <left/>
      <right/>
      <top style="hair">
        <color auto="1"/>
      </top>
      <bottom style="hair">
        <color auto="1"/>
      </bottom>
      <diagonal/>
    </border>
    <border>
      <left/>
      <right/>
      <top style="hair">
        <color auto="1"/>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style="medium">
        <color theme="0" tint="-0.14993743705557422"/>
      </right>
      <top style="medium">
        <color theme="0" tint="-0.14993743705557422"/>
      </top>
      <bottom/>
      <diagonal/>
    </border>
    <border>
      <left style="thin">
        <color indexed="64"/>
      </left>
      <right style="medium">
        <color theme="0" tint="-0.14993743705557422"/>
      </right>
      <top/>
      <bottom/>
      <diagonal/>
    </border>
    <border>
      <left style="thin">
        <color indexed="64"/>
      </left>
      <right style="medium">
        <color theme="0" tint="-0.14993743705557422"/>
      </right>
      <top/>
      <bottom style="medium">
        <color theme="0" tint="-0.14993743705557422"/>
      </bottom>
      <diagonal/>
    </border>
    <border>
      <left style="mediumDashDotDot">
        <color theme="0" tint="-4.9989318521683403E-2"/>
      </left>
      <right/>
      <top style="mediumDashDotDot">
        <color theme="0" tint="-4.9989318521683403E-2"/>
      </top>
      <bottom style="medium">
        <color theme="0" tint="-4.9989318521683403E-2"/>
      </bottom>
      <diagonal/>
    </border>
    <border>
      <left/>
      <right/>
      <top style="mediumDashDotDot">
        <color theme="0" tint="-4.9989318521683403E-2"/>
      </top>
      <bottom style="medium">
        <color theme="0" tint="-4.9989318521683403E-2"/>
      </bottom>
      <diagonal/>
    </border>
    <border>
      <left/>
      <right style="mediumDashDotDot">
        <color theme="0" tint="-4.9989318521683403E-2"/>
      </right>
      <top style="mediumDashDotDot">
        <color theme="0" tint="-4.9989318521683403E-2"/>
      </top>
      <bottom style="medium">
        <color theme="0" tint="-4.9989318521683403E-2"/>
      </bottom>
      <diagonal/>
    </border>
    <border>
      <left style="mediumDashDotDot">
        <color theme="0" tint="-4.9989318521683403E-2"/>
      </left>
      <right/>
      <top style="medium">
        <color theme="0" tint="-4.9989318521683403E-2"/>
      </top>
      <bottom style="mediumDashDotDot">
        <color theme="0" tint="-4.9989318521683403E-2"/>
      </bottom>
      <diagonal/>
    </border>
    <border>
      <left/>
      <right/>
      <top style="medium">
        <color theme="0" tint="-4.9989318521683403E-2"/>
      </top>
      <bottom style="mediumDashDotDot">
        <color theme="0" tint="-4.9989318521683403E-2"/>
      </bottom>
      <diagonal/>
    </border>
    <border>
      <left/>
      <right style="mediumDashDotDot">
        <color theme="0" tint="-4.9989318521683403E-2"/>
      </right>
      <top style="medium">
        <color theme="0" tint="-4.9989318521683403E-2"/>
      </top>
      <bottom style="mediumDashDotDot">
        <color theme="0" tint="-4.9989318521683403E-2"/>
      </bottom>
      <diagonal/>
    </border>
    <border>
      <left style="mediumDashDotDot">
        <color theme="0" tint="-0.14990691854609822"/>
      </left>
      <right/>
      <top style="medium">
        <color theme="0" tint="-0.14993743705557422"/>
      </top>
      <bottom/>
      <diagonal/>
    </border>
    <border>
      <left style="mediumDashDotDot">
        <color theme="0" tint="-0.14990691854609822"/>
      </left>
      <right/>
      <top/>
      <bottom style="mediumDashDotDot">
        <color theme="0" tint="-0.14996795556505021"/>
      </bottom>
      <diagonal/>
    </border>
    <border>
      <left/>
      <right/>
      <top style="thin">
        <color theme="0" tint="-0.14996795556505021"/>
      </top>
      <bottom/>
      <diagonal/>
    </border>
    <border>
      <left/>
      <right/>
      <top style="medium">
        <color theme="0" tint="-0.14990691854609822"/>
      </top>
      <bottom/>
      <diagonal/>
    </border>
    <border>
      <left style="slantDashDot">
        <color auto="1"/>
      </left>
      <right/>
      <top style="thin">
        <color indexed="64"/>
      </top>
      <bottom/>
      <diagonal/>
    </border>
    <border>
      <left/>
      <right style="slantDashDot">
        <color auto="1"/>
      </right>
      <top style="thin">
        <color indexed="64"/>
      </top>
      <bottom/>
      <diagonal/>
    </border>
    <border>
      <left style="mediumDashDot">
        <color theme="0" tint="-4.9989318521683403E-2"/>
      </left>
      <right/>
      <top style="mediumDashDot">
        <color theme="0" tint="-4.9989318521683403E-2"/>
      </top>
      <bottom style="mediumDashDot">
        <color theme="0" tint="-4.9989318521683403E-2"/>
      </bottom>
      <diagonal/>
    </border>
    <border>
      <left/>
      <right/>
      <top style="mediumDashDot">
        <color theme="0" tint="-4.9989318521683403E-2"/>
      </top>
      <bottom style="mediumDashDot">
        <color theme="0" tint="-4.9989318521683403E-2"/>
      </bottom>
      <diagonal/>
    </border>
    <border>
      <left/>
      <right style="mediumDashDot">
        <color theme="0" tint="-4.9989318521683403E-2"/>
      </right>
      <top style="mediumDashDot">
        <color theme="0" tint="-4.9989318521683403E-2"/>
      </top>
      <bottom style="mediumDashDot">
        <color theme="0" tint="-4.9989318521683403E-2"/>
      </bottom>
      <diagonal/>
    </border>
    <border>
      <left style="dashed">
        <color auto="1"/>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theme="0" tint="-0.14996795556505021"/>
      </top>
      <bottom style="thin">
        <color theme="0" tint="-0.14996795556505021"/>
      </bottom>
      <diagonal/>
    </border>
    <border>
      <left style="thin">
        <color indexed="64"/>
      </left>
      <right style="thin">
        <color indexed="64"/>
      </right>
      <top/>
      <bottom style="thin">
        <color indexed="64"/>
      </bottom>
      <diagonal/>
    </border>
  </borders>
  <cellStyleXfs count="1">
    <xf numFmtId="0" fontId="0" fillId="0" borderId="0"/>
  </cellStyleXfs>
  <cellXfs count="4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center"/>
    </xf>
    <xf numFmtId="0" fontId="0" fillId="2" borderId="1" xfId="0" applyFill="1" applyBorder="1" applyAlignment="1">
      <alignment horizontal="center"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1" fillId="0" borderId="0" xfId="0" applyFont="1" applyAlignment="1">
      <alignment horizontal="center" vertical="center"/>
    </xf>
    <xf numFmtId="0" fontId="8"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vertical="center"/>
    </xf>
    <xf numFmtId="0" fontId="9" fillId="0" borderId="0" xfId="0" applyFont="1" applyAlignment="1">
      <alignment horizontal="center" vertical="center" wrapText="1"/>
    </xf>
    <xf numFmtId="0" fontId="9" fillId="0" borderId="13" xfId="0" applyFont="1" applyBorder="1" applyAlignment="1">
      <alignment horizontal="center" vertical="center" wrapText="1"/>
    </xf>
    <xf numFmtId="0" fontId="10" fillId="0" borderId="0" xfId="0" applyFont="1"/>
    <xf numFmtId="0" fontId="11" fillId="0" borderId="0" xfId="0" applyFont="1" applyAlignment="1">
      <alignment horizontal="center" vertical="center"/>
    </xf>
    <xf numFmtId="0" fontId="11" fillId="0" borderId="0" xfId="0" applyFont="1" applyAlignment="1">
      <alignment horizontal="left" vertical="center"/>
    </xf>
    <xf numFmtId="0" fontId="0" fillId="0" borderId="0" xfId="0" applyAlignment="1">
      <alignment horizontal="left"/>
    </xf>
    <xf numFmtId="0" fontId="11" fillId="0" borderId="13" xfId="0" applyFont="1" applyBorder="1" applyAlignment="1">
      <alignment horizontal="center" vertical="center"/>
    </xf>
    <xf numFmtId="0" fontId="0" fillId="0" borderId="0" xfId="0" applyAlignment="1">
      <alignment horizontal="left" vertical="center"/>
    </xf>
    <xf numFmtId="0" fontId="11" fillId="0" borderId="0" xfId="0" applyFont="1"/>
    <xf numFmtId="0" fontId="0" fillId="5" borderId="0" xfId="0" applyFill="1"/>
    <xf numFmtId="0" fontId="0" fillId="5" borderId="0" xfId="0" applyFill="1" applyAlignment="1">
      <alignment horizontal="left"/>
    </xf>
    <xf numFmtId="0" fontId="16" fillId="5" borderId="0" xfId="0" applyFont="1" applyFill="1" applyAlignment="1">
      <alignment horizontal="center"/>
    </xf>
    <xf numFmtId="0" fontId="16" fillId="5" borderId="0" xfId="0" applyFont="1" applyFill="1" applyAlignment="1">
      <alignment horizontal="left"/>
    </xf>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vertical="center"/>
    </xf>
    <xf numFmtId="0" fontId="7" fillId="5" borderId="0" xfId="0" applyFont="1" applyFill="1" applyAlignment="1">
      <alignment vertical="center"/>
    </xf>
    <xf numFmtId="0" fontId="1" fillId="5" borderId="0" xfId="0" applyFont="1" applyFill="1" applyAlignment="1">
      <alignment horizontal="right" vertical="center"/>
    </xf>
    <xf numFmtId="0" fontId="13" fillId="4" borderId="15" xfId="0" applyFont="1" applyFill="1" applyBorder="1" applyAlignment="1">
      <alignment horizontal="center" vertical="center"/>
    </xf>
    <xf numFmtId="0" fontId="0" fillId="4" borderId="15" xfId="0" applyFill="1" applyBorder="1" applyAlignment="1">
      <alignment horizontal="center" vertical="center"/>
    </xf>
    <xf numFmtId="0" fontId="0" fillId="4" borderId="15" xfId="0" applyFill="1" applyBorder="1" applyAlignment="1">
      <alignment horizontal="left" vertical="center"/>
    </xf>
    <xf numFmtId="0" fontId="7" fillId="4" borderId="15" xfId="0" applyFont="1" applyFill="1" applyBorder="1" applyAlignment="1">
      <alignment horizontal="left" vertical="center"/>
    </xf>
    <xf numFmtId="0" fontId="13" fillId="4" borderId="15" xfId="0" applyFont="1" applyFill="1" applyBorder="1" applyAlignment="1">
      <alignment horizontal="left" vertical="center"/>
    </xf>
    <xf numFmtId="0" fontId="0" fillId="4" borderId="16" xfId="0" applyFill="1" applyBorder="1" applyAlignment="1">
      <alignment horizontal="center" vertical="center"/>
    </xf>
    <xf numFmtId="0" fontId="16" fillId="5"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1" fillId="0" borderId="0" xfId="0" applyFont="1" applyAlignment="1">
      <alignment vertical="center"/>
    </xf>
    <xf numFmtId="0" fontId="22" fillId="0" borderId="0" xfId="0" applyFont="1"/>
    <xf numFmtId="0" fontId="18" fillId="0" borderId="21" xfId="0" applyFont="1" applyBorder="1" applyAlignment="1">
      <alignment vertical="center"/>
    </xf>
    <xf numFmtId="0" fontId="0" fillId="6" borderId="0" xfId="0" applyFill="1"/>
    <xf numFmtId="0" fontId="0" fillId="6" borderId="0" xfId="0" applyFill="1" applyAlignment="1">
      <alignment vertical="center"/>
    </xf>
    <xf numFmtId="0" fontId="17" fillId="0" borderId="18" xfId="0" applyFont="1" applyBorder="1" applyAlignment="1">
      <alignment horizontal="center" vertical="center"/>
    </xf>
    <xf numFmtId="0" fontId="23" fillId="0" borderId="19" xfId="0" applyFont="1" applyBorder="1" applyAlignment="1">
      <alignment horizontal="center" vertical="center"/>
    </xf>
    <xf numFmtId="0" fontId="0" fillId="7" borderId="0" xfId="0" applyFill="1"/>
    <xf numFmtId="0" fontId="17" fillId="7" borderId="0" xfId="0" applyFont="1" applyFill="1" applyAlignment="1">
      <alignment horizontal="center"/>
    </xf>
    <xf numFmtId="0" fontId="0" fillId="7" borderId="0" xfId="0" applyFill="1" applyAlignment="1">
      <alignment vertical="center"/>
    </xf>
    <xf numFmtId="0" fontId="17" fillId="7" borderId="0" xfId="0" applyFont="1" applyFill="1" applyAlignment="1">
      <alignment horizontal="center" vertical="center"/>
    </xf>
    <xf numFmtId="0" fontId="18" fillId="0" borderId="21" xfId="0" applyFont="1" applyBorder="1" applyAlignment="1">
      <alignment horizontal="center" vertical="center"/>
    </xf>
    <xf numFmtId="0" fontId="23" fillId="7" borderId="0" xfId="0" applyFont="1" applyFill="1" applyAlignment="1">
      <alignment horizontal="center" vertical="center"/>
    </xf>
    <xf numFmtId="0" fontId="18" fillId="7" borderId="0" xfId="0" applyFont="1" applyFill="1" applyAlignment="1">
      <alignment vertical="center"/>
    </xf>
    <xf numFmtId="0" fontId="0" fillId="7" borderId="0" xfId="0" applyFill="1" applyAlignment="1">
      <alignment horizontal="center" vertical="center"/>
    </xf>
    <xf numFmtId="0" fontId="0" fillId="0" borderId="20"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25" fillId="0" borderId="25" xfId="0" applyFont="1" applyBorder="1" applyAlignment="1">
      <alignment horizontal="center" vertical="center"/>
    </xf>
    <xf numFmtId="0" fontId="25" fillId="7" borderId="0" xfId="0" applyFont="1" applyFill="1" applyAlignment="1">
      <alignment horizontal="center" vertical="center"/>
    </xf>
    <xf numFmtId="0" fontId="0" fillId="0" borderId="25" xfId="0" applyBorder="1" applyAlignment="1" applyProtection="1">
      <alignment horizontal="center" vertical="center"/>
      <protection locked="0"/>
    </xf>
    <xf numFmtId="0" fontId="0" fillId="0" borderId="0" xfId="0" applyAlignment="1" applyProtection="1">
      <alignment horizontal="center" vertical="center"/>
      <protection locked="0"/>
    </xf>
    <xf numFmtId="0" fontId="16" fillId="4" borderId="15" xfId="0" applyFont="1" applyFill="1" applyBorder="1" applyAlignment="1">
      <alignment horizontal="left" vertical="center"/>
    </xf>
    <xf numFmtId="0" fontId="15" fillId="3" borderId="1" xfId="0" applyFont="1" applyFill="1" applyBorder="1" applyAlignment="1" applyProtection="1">
      <alignment horizontal="center" vertical="center"/>
      <protection locked="0"/>
    </xf>
    <xf numFmtId="0" fontId="0" fillId="8" borderId="0" xfId="0" applyFill="1"/>
    <xf numFmtId="0" fontId="0" fillId="8" borderId="0" xfId="0" applyFill="1" applyAlignment="1">
      <alignment vertical="center"/>
    </xf>
    <xf numFmtId="0" fontId="0" fillId="8" borderId="0" xfId="0" applyFill="1" applyAlignment="1">
      <alignment horizontal="center" vertical="center"/>
    </xf>
    <xf numFmtId="0" fontId="5" fillId="8" borderId="0" xfId="0" applyFont="1" applyFill="1" applyAlignment="1">
      <alignment horizontal="left"/>
    </xf>
    <xf numFmtId="0" fontId="0" fillId="8" borderId="0" xfId="0" applyFill="1" applyAlignment="1">
      <alignment horizontal="center"/>
    </xf>
    <xf numFmtId="0" fontId="0" fillId="3" borderId="1" xfId="0" applyFill="1" applyBorder="1" applyAlignment="1" applyProtection="1">
      <alignment horizontal="center" vertical="center"/>
      <protection locked="0"/>
    </xf>
    <xf numFmtId="0" fontId="20" fillId="0" borderId="0" xfId="0" applyFont="1" applyAlignment="1">
      <alignment vertical="center"/>
    </xf>
    <xf numFmtId="0" fontId="20" fillId="8" borderId="0" xfId="0" applyFont="1" applyFill="1"/>
    <xf numFmtId="0" fontId="29" fillId="0" borderId="27" xfId="0" applyFont="1" applyBorder="1" applyAlignment="1">
      <alignment horizontal="center" vertical="center"/>
    </xf>
    <xf numFmtId="0" fontId="29" fillId="0" borderId="27" xfId="0" applyFont="1" applyBorder="1" applyAlignment="1">
      <alignment vertical="center"/>
    </xf>
    <xf numFmtId="0" fontId="17" fillId="10" borderId="0" xfId="0" applyFont="1" applyFill="1" applyAlignment="1">
      <alignment horizontal="center" vertical="center"/>
    </xf>
    <xf numFmtId="0" fontId="20" fillId="10" borderId="0" xfId="0" applyFont="1" applyFill="1" applyAlignment="1">
      <alignment horizontal="center" vertical="center"/>
    </xf>
    <xf numFmtId="0" fontId="20" fillId="10" borderId="38" xfId="0" applyFont="1" applyFill="1" applyBorder="1"/>
    <xf numFmtId="0" fontId="20" fillId="10" borderId="39" xfId="0" applyFont="1" applyFill="1" applyBorder="1"/>
    <xf numFmtId="0" fontId="20" fillId="10" borderId="40" xfId="0" applyFont="1" applyFill="1" applyBorder="1"/>
    <xf numFmtId="0" fontId="20" fillId="10" borderId="41" xfId="0" applyFont="1" applyFill="1" applyBorder="1"/>
    <xf numFmtId="0" fontId="27" fillId="10" borderId="0" xfId="0" applyFont="1" applyFill="1" applyAlignment="1">
      <alignment horizontal="center" vertical="center"/>
    </xf>
    <xf numFmtId="0" fontId="20" fillId="10" borderId="42" xfId="0" applyFont="1" applyFill="1" applyBorder="1"/>
    <xf numFmtId="0" fontId="28" fillId="10" borderId="0" xfId="0" applyFont="1" applyFill="1" applyAlignment="1">
      <alignment horizontal="center" vertical="center"/>
    </xf>
    <xf numFmtId="0" fontId="0" fillId="10" borderId="41" xfId="0" applyFill="1" applyBorder="1"/>
    <xf numFmtId="0" fontId="0" fillId="10" borderId="42" xfId="0" applyFill="1" applyBorder="1"/>
    <xf numFmtId="0" fontId="0" fillId="10" borderId="35" xfId="0" applyFill="1" applyBorder="1"/>
    <xf numFmtId="0" fontId="17" fillId="10" borderId="17" xfId="0" applyFont="1" applyFill="1" applyBorder="1" applyAlignment="1">
      <alignment horizontal="center"/>
    </xf>
    <xf numFmtId="0" fontId="0" fillId="10" borderId="17" xfId="0" applyFill="1" applyBorder="1"/>
    <xf numFmtId="0" fontId="0" fillId="10" borderId="43" xfId="0" applyFill="1" applyBorder="1"/>
    <xf numFmtId="0" fontId="0" fillId="11" borderId="0" xfId="0" applyFill="1"/>
    <xf numFmtId="0" fontId="20" fillId="11" borderId="0" xfId="0" applyFont="1" applyFill="1"/>
    <xf numFmtId="0" fontId="31" fillId="11" borderId="0" xfId="0" applyFont="1" applyFill="1"/>
    <xf numFmtId="0" fontId="31" fillId="11" borderId="0" xfId="0" applyFont="1" applyFill="1" applyAlignment="1">
      <alignment vertical="center"/>
    </xf>
    <xf numFmtId="0" fontId="20" fillId="11" borderId="0" xfId="0" applyFont="1" applyFill="1" applyAlignment="1">
      <alignment vertical="center"/>
    </xf>
    <xf numFmtId="0" fontId="21" fillId="11" borderId="0" xfId="0" applyFont="1" applyFill="1" applyAlignment="1">
      <alignment horizontal="right" vertical="center"/>
    </xf>
    <xf numFmtId="0" fontId="0" fillId="11" borderId="0" xfId="0" applyFill="1" applyAlignment="1" applyProtection="1">
      <alignment horizontal="center" vertical="center"/>
      <protection locked="0"/>
    </xf>
    <xf numFmtId="0" fontId="18" fillId="11" borderId="0" xfId="0" applyFont="1" applyFill="1" applyAlignment="1">
      <alignment vertical="center"/>
    </xf>
    <xf numFmtId="0" fontId="32" fillId="11" borderId="0" xfId="0" applyFont="1" applyFill="1"/>
    <xf numFmtId="0" fontId="32" fillId="11" borderId="0" xfId="0" applyFont="1" applyFill="1" applyAlignment="1">
      <alignment horizontal="right" vertical="center"/>
    </xf>
    <xf numFmtId="0" fontId="32" fillId="11" borderId="0" xfId="0" applyFont="1" applyFill="1" applyAlignment="1">
      <alignment horizontal="center" vertical="center"/>
    </xf>
    <xf numFmtId="0" fontId="32" fillId="11" borderId="0" xfId="0" applyFont="1" applyFill="1" applyAlignment="1">
      <alignment vertical="center"/>
    </xf>
    <xf numFmtId="0" fontId="33" fillId="11" borderId="0" xfId="0" applyFont="1" applyFill="1" applyAlignment="1">
      <alignment horizontal="center"/>
    </xf>
    <xf numFmtId="0" fontId="33" fillId="11" borderId="0" xfId="0" applyFont="1" applyFill="1"/>
    <xf numFmtId="0" fontId="32" fillId="11" borderId="0" xfId="0" applyFont="1" applyFill="1" applyAlignment="1">
      <alignment horizontal="center"/>
    </xf>
    <xf numFmtId="0" fontId="17" fillId="11" borderId="0" xfId="0" applyFont="1" applyFill="1" applyAlignment="1">
      <alignment horizontal="center" vertical="center"/>
    </xf>
    <xf numFmtId="0" fontId="23" fillId="11" borderId="0" xfId="0" applyFont="1" applyFill="1" applyAlignment="1">
      <alignment horizontal="center" vertical="center"/>
    </xf>
    <xf numFmtId="0" fontId="17" fillId="11" borderId="0" xfId="0" applyFont="1" applyFill="1" applyAlignment="1">
      <alignment horizontal="center"/>
    </xf>
    <xf numFmtId="0" fontId="20" fillId="5" borderId="0" xfId="0" applyFont="1" applyFill="1"/>
    <xf numFmtId="0" fontId="20" fillId="5" borderId="0" xfId="0" applyFont="1" applyFill="1" applyAlignment="1">
      <alignment vertical="center"/>
    </xf>
    <xf numFmtId="0" fontId="17" fillId="5" borderId="0" xfId="0" applyFont="1" applyFill="1" applyAlignment="1">
      <alignment horizontal="center" vertical="center"/>
    </xf>
    <xf numFmtId="0" fontId="23" fillId="5" borderId="0" xfId="0" applyFont="1" applyFill="1" applyAlignment="1">
      <alignment horizontal="center" vertical="center"/>
    </xf>
    <xf numFmtId="0" fontId="17" fillId="5" borderId="0" xfId="0" applyFont="1" applyFill="1" applyAlignment="1">
      <alignment horizontal="center"/>
    </xf>
    <xf numFmtId="0" fontId="18" fillId="5" borderId="0" xfId="0" applyFont="1" applyFill="1" applyAlignment="1">
      <alignment vertical="center"/>
    </xf>
    <xf numFmtId="0" fontId="0" fillId="5" borderId="0" xfId="0" applyFill="1" applyAlignment="1" applyProtection="1">
      <alignment horizontal="center" vertical="center"/>
      <protection locked="0"/>
    </xf>
    <xf numFmtId="0" fontId="24" fillId="11" borderId="0" xfId="0" applyFont="1" applyFill="1" applyAlignment="1" applyProtection="1">
      <alignment horizontal="center" vertical="center"/>
      <protection locked="0"/>
    </xf>
    <xf numFmtId="0" fontId="29" fillId="11" borderId="0" xfId="0" applyFont="1" applyFill="1" applyAlignment="1">
      <alignment vertical="center"/>
    </xf>
    <xf numFmtId="0" fontId="24" fillId="11" borderId="0" xfId="0" applyFont="1" applyFill="1"/>
    <xf numFmtId="0" fontId="24" fillId="5" borderId="0" xfId="0" applyFont="1" applyFill="1"/>
    <xf numFmtId="0" fontId="34" fillId="5" borderId="0" xfId="0" applyFont="1" applyFill="1"/>
    <xf numFmtId="0" fontId="31" fillId="4" borderId="14" xfId="0" applyFont="1" applyFill="1" applyBorder="1" applyAlignment="1">
      <alignment horizontal="center" vertical="center"/>
    </xf>
    <xf numFmtId="0" fontId="36" fillId="4" borderId="15" xfId="0" applyFont="1" applyFill="1" applyBorder="1" applyAlignment="1">
      <alignment horizontal="center" vertical="center"/>
    </xf>
    <xf numFmtId="0" fontId="31" fillId="4" borderId="15" xfId="0" applyFont="1" applyFill="1" applyBorder="1" applyAlignment="1">
      <alignment horizontal="center" vertical="center"/>
    </xf>
    <xf numFmtId="0" fontId="31" fillId="4" borderId="15" xfId="0" applyFont="1" applyFill="1" applyBorder="1" applyAlignment="1">
      <alignment horizontal="right" vertical="center"/>
    </xf>
    <xf numFmtId="0" fontId="36" fillId="4" borderId="16" xfId="0" applyFont="1" applyFill="1" applyBorder="1" applyAlignment="1">
      <alignment horizontal="center" vertical="center"/>
    </xf>
    <xf numFmtId="0" fontId="19" fillId="11" borderId="0" xfId="0" applyFont="1" applyFill="1"/>
    <xf numFmtId="0" fontId="0" fillId="5" borderId="13" xfId="0" applyFill="1" applyBorder="1" applyAlignment="1">
      <alignment horizontal="center" vertical="center"/>
    </xf>
    <xf numFmtId="0" fontId="20" fillId="3" borderId="39" xfId="0" applyFont="1" applyFill="1" applyBorder="1"/>
    <xf numFmtId="0" fontId="0" fillId="3" borderId="39" xfId="0" applyFill="1" applyBorder="1"/>
    <xf numFmtId="0" fontId="0" fillId="3" borderId="40" xfId="0" applyFill="1" applyBorder="1"/>
    <xf numFmtId="0" fontId="20" fillId="3" borderId="38" xfId="0" applyFont="1" applyFill="1" applyBorder="1"/>
    <xf numFmtId="0" fontId="20" fillId="3" borderId="41" xfId="0" applyFont="1" applyFill="1" applyBorder="1"/>
    <xf numFmtId="0" fontId="0" fillId="3" borderId="41" xfId="0" applyFill="1" applyBorder="1"/>
    <xf numFmtId="0" fontId="0" fillId="3" borderId="35" xfId="0" applyFill="1" applyBorder="1"/>
    <xf numFmtId="0" fontId="17" fillId="3" borderId="17" xfId="0" applyFont="1" applyFill="1" applyBorder="1" applyAlignment="1">
      <alignment horizontal="center"/>
    </xf>
    <xf numFmtId="0" fontId="0" fillId="3" borderId="17" xfId="0" applyFill="1" applyBorder="1"/>
    <xf numFmtId="0" fontId="0" fillId="3" borderId="43" xfId="0" applyFill="1" applyBorder="1"/>
    <xf numFmtId="0" fontId="17"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xf numFmtId="0" fontId="0" fillId="3" borderId="0" xfId="0" applyFill="1"/>
    <xf numFmtId="0" fontId="0" fillId="3" borderId="42" xfId="0" applyFill="1" applyBorder="1"/>
    <xf numFmtId="0" fontId="27" fillId="3" borderId="0" xfId="0" applyFont="1" applyFill="1" applyAlignment="1">
      <alignment horizontal="center" vertical="center"/>
    </xf>
    <xf numFmtId="0" fontId="28" fillId="3" borderId="0" xfId="0" applyFont="1" applyFill="1" applyAlignment="1">
      <alignment horizontal="center" vertical="center"/>
    </xf>
    <xf numFmtId="0" fontId="20" fillId="4" borderId="14" xfId="0" applyFont="1" applyFill="1" applyBorder="1"/>
    <xf numFmtId="0" fontId="20" fillId="11" borderId="0" xfId="0" applyFont="1" applyFill="1" applyAlignment="1">
      <alignment horizontal="center"/>
    </xf>
    <xf numFmtId="0" fontId="20" fillId="3" borderId="61" xfId="0" applyFont="1" applyFill="1" applyBorder="1" applyAlignment="1">
      <alignment vertical="center"/>
    </xf>
    <xf numFmtId="0" fontId="20" fillId="3" borderId="62" xfId="0" applyFont="1" applyFill="1" applyBorder="1" applyAlignment="1">
      <alignment vertical="center"/>
    </xf>
    <xf numFmtId="0" fontId="39" fillId="11" borderId="0" xfId="0" applyFont="1" applyFill="1" applyAlignment="1">
      <alignment horizontal="center"/>
    </xf>
    <xf numFmtId="0" fontId="39" fillId="5" borderId="0" xfId="0" applyFont="1" applyFill="1" applyAlignment="1">
      <alignment horizontal="center" vertical="center"/>
    </xf>
    <xf numFmtId="0" fontId="20" fillId="11" borderId="0" xfId="0" applyFont="1" applyFill="1" applyAlignment="1">
      <alignment horizontal="center" vertical="center"/>
    </xf>
    <xf numFmtId="0" fontId="0" fillId="5" borderId="63" xfId="0" applyFill="1" applyBorder="1"/>
    <xf numFmtId="0" fontId="0" fillId="5" borderId="64" xfId="0" applyFill="1" applyBorder="1"/>
    <xf numFmtId="0" fontId="0" fillId="5" borderId="65" xfId="0" applyFill="1" applyBorder="1"/>
    <xf numFmtId="0" fontId="0" fillId="5" borderId="66" xfId="0" applyFill="1" applyBorder="1"/>
    <xf numFmtId="0" fontId="0" fillId="5" borderId="68" xfId="0" applyFill="1" applyBorder="1"/>
    <xf numFmtId="0" fontId="0" fillId="5" borderId="13" xfId="0" applyFill="1" applyBorder="1"/>
    <xf numFmtId="0" fontId="0" fillId="5" borderId="52" xfId="0" applyFill="1" applyBorder="1"/>
    <xf numFmtId="0" fontId="41" fillId="5" borderId="0" xfId="0" applyFont="1" applyFill="1"/>
    <xf numFmtId="0" fontId="41" fillId="5" borderId="0" xfId="0" applyFont="1" applyFill="1" applyAlignment="1">
      <alignment horizontal="center" vertical="center"/>
    </xf>
    <xf numFmtId="0" fontId="42" fillId="11" borderId="0" xfId="0" applyFont="1" applyFill="1" applyAlignment="1">
      <alignment horizontal="center"/>
    </xf>
    <xf numFmtId="0" fontId="42" fillId="11" borderId="0" xfId="0" applyFont="1" applyFill="1"/>
    <xf numFmtId="0" fontId="42" fillId="11" borderId="0" xfId="0" applyFont="1" applyFill="1" applyAlignment="1">
      <alignment vertical="center"/>
    </xf>
    <xf numFmtId="0" fontId="42" fillId="11" borderId="0" xfId="0" applyFont="1" applyFill="1" applyAlignment="1">
      <alignment horizontal="center" vertical="center"/>
    </xf>
    <xf numFmtId="0" fontId="42" fillId="11" borderId="0" xfId="0" applyFont="1" applyFill="1" applyAlignment="1">
      <alignment horizontal="right" vertical="center"/>
    </xf>
    <xf numFmtId="0" fontId="43" fillId="11" borderId="0" xfId="0" applyFont="1" applyFill="1" applyAlignment="1">
      <alignment horizontal="center"/>
    </xf>
    <xf numFmtId="0" fontId="43" fillId="11" borderId="0" xfId="0" applyFont="1" applyFill="1"/>
    <xf numFmtId="0" fontId="0" fillId="5" borderId="69" xfId="0" applyFill="1" applyBorder="1"/>
    <xf numFmtId="0" fontId="0" fillId="5" borderId="70" xfId="0" applyFill="1" applyBorder="1"/>
    <xf numFmtId="0" fontId="0" fillId="5" borderId="71" xfId="0" applyFill="1" applyBorder="1"/>
    <xf numFmtId="0" fontId="0" fillId="5" borderId="72" xfId="0" applyFill="1" applyBorder="1"/>
    <xf numFmtId="0" fontId="0" fillId="5" borderId="73" xfId="0" applyFill="1" applyBorder="1"/>
    <xf numFmtId="0" fontId="0" fillId="5" borderId="74" xfId="0" applyFill="1" applyBorder="1"/>
    <xf numFmtId="0" fontId="0" fillId="5" borderId="75" xfId="0" applyFill="1" applyBorder="1"/>
    <xf numFmtId="0" fontId="0" fillId="5" borderId="76" xfId="0" applyFill="1" applyBorder="1"/>
    <xf numFmtId="0" fontId="0" fillId="5" borderId="77" xfId="0" applyFill="1" applyBorder="1" applyAlignment="1">
      <alignment horizontal="right"/>
    </xf>
    <xf numFmtId="0" fontId="0" fillId="5" borderId="77" xfId="0" applyFill="1" applyBorder="1"/>
    <xf numFmtId="0" fontId="0" fillId="5" borderId="0" xfId="0" applyFill="1" applyAlignment="1">
      <alignment horizontal="right"/>
    </xf>
    <xf numFmtId="0" fontId="0" fillId="5" borderId="81" xfId="0" applyFill="1" applyBorder="1" applyAlignment="1">
      <alignment horizontal="right"/>
    </xf>
    <xf numFmtId="0" fontId="0" fillId="5" borderId="82" xfId="0" applyFill="1" applyBorder="1" applyAlignment="1">
      <alignment horizontal="right"/>
    </xf>
    <xf numFmtId="0" fontId="24" fillId="5" borderId="0" xfId="0" applyFont="1" applyFill="1" applyProtection="1">
      <protection locked="0"/>
    </xf>
    <xf numFmtId="0" fontId="20" fillId="4" borderId="1" xfId="0" applyFont="1" applyFill="1" applyBorder="1" applyAlignment="1" applyProtection="1">
      <alignment horizontal="center" vertical="center"/>
      <protection locked="0"/>
    </xf>
    <xf numFmtId="0" fontId="29" fillId="10" borderId="0" xfId="0" applyFont="1" applyFill="1" applyAlignment="1">
      <alignment horizontal="center" vertical="center"/>
    </xf>
    <xf numFmtId="0" fontId="29" fillId="10" borderId="0" xfId="0" applyFont="1" applyFill="1" applyAlignment="1">
      <alignment vertical="center"/>
    </xf>
    <xf numFmtId="0" fontId="20" fillId="5" borderId="0" xfId="0" applyFont="1" applyFill="1" applyAlignment="1">
      <alignment horizontal="center"/>
    </xf>
    <xf numFmtId="0" fontId="20" fillId="9" borderId="90" xfId="0" applyFont="1" applyFill="1" applyBorder="1" applyAlignment="1">
      <alignment horizontal="center" vertical="center"/>
    </xf>
    <xf numFmtId="0" fontId="19" fillId="11" borderId="0" xfId="0" applyFont="1" applyFill="1" applyAlignment="1">
      <alignment horizontal="center" vertical="center"/>
    </xf>
    <xf numFmtId="0" fontId="22" fillId="11" borderId="0" xfId="0" applyFont="1" applyFill="1" applyAlignment="1">
      <alignment horizontal="center" vertical="center"/>
    </xf>
    <xf numFmtId="0" fontId="24" fillId="5" borderId="77" xfId="0" applyFont="1" applyFill="1" applyBorder="1"/>
    <xf numFmtId="0" fontId="20" fillId="9" borderId="90" xfId="0" applyFont="1" applyFill="1" applyBorder="1" applyAlignment="1" applyProtection="1">
      <alignment horizontal="center" vertical="center"/>
      <protection locked="0"/>
    </xf>
    <xf numFmtId="0" fontId="31" fillId="4" borderId="14" xfId="0" applyFont="1" applyFill="1" applyBorder="1" applyAlignment="1">
      <alignment horizontal="right" vertical="center"/>
    </xf>
    <xf numFmtId="0" fontId="0" fillId="15" borderId="0" xfId="0" applyFill="1"/>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0" borderId="0" xfId="0" applyFont="1"/>
    <xf numFmtId="0" fontId="19" fillId="5" borderId="0" xfId="0" applyFont="1" applyFill="1"/>
    <xf numFmtId="0" fontId="39" fillId="5" borderId="0" xfId="0" applyFont="1" applyFill="1" applyAlignment="1">
      <alignment horizontal="center"/>
    </xf>
    <xf numFmtId="0" fontId="13" fillId="5" borderId="0" xfId="0" applyFont="1" applyFill="1" applyAlignment="1">
      <alignment horizontal="center" vertical="center"/>
    </xf>
    <xf numFmtId="0" fontId="7" fillId="5" borderId="0" xfId="0" applyFont="1" applyFill="1" applyAlignment="1">
      <alignment horizontal="left" vertical="center"/>
    </xf>
    <xf numFmtId="0" fontId="13" fillId="5" borderId="0" xfId="0" applyFont="1" applyFill="1" applyAlignment="1">
      <alignment horizontal="left" vertical="center"/>
    </xf>
    <xf numFmtId="0" fontId="31" fillId="5" borderId="0" xfId="0" applyFont="1" applyFill="1" applyAlignment="1">
      <alignment horizontal="center" vertical="center"/>
    </xf>
    <xf numFmtId="0" fontId="36" fillId="5" borderId="0" xfId="0" applyFont="1" applyFill="1" applyAlignment="1">
      <alignment horizontal="center" vertical="center"/>
    </xf>
    <xf numFmtId="0" fontId="31" fillId="5" borderId="0" xfId="0" applyFont="1" applyFill="1" applyAlignment="1">
      <alignment horizontal="right" vertical="center"/>
    </xf>
    <xf numFmtId="0" fontId="0" fillId="5" borderId="102" xfId="0" applyFill="1" applyBorder="1" applyAlignment="1">
      <alignment horizontal="center" vertical="center"/>
    </xf>
    <xf numFmtId="0" fontId="0" fillId="5" borderId="103" xfId="0" applyFill="1" applyBorder="1"/>
    <xf numFmtId="0" fontId="0" fillId="0" borderId="0" xfId="0" applyAlignment="1">
      <alignment horizontal="right"/>
    </xf>
    <xf numFmtId="0" fontId="44" fillId="0" borderId="0" xfId="0" applyFont="1" applyAlignment="1">
      <alignment vertical="center" wrapText="1"/>
    </xf>
    <xf numFmtId="0" fontId="27" fillId="3" borderId="8" xfId="0" applyFont="1" applyFill="1" applyBorder="1" applyAlignment="1">
      <alignment vertical="center"/>
    </xf>
    <xf numFmtId="0" fontId="28" fillId="3" borderId="8" xfId="0" applyFont="1" applyFill="1" applyBorder="1" applyAlignment="1">
      <alignment vertical="center"/>
    </xf>
    <xf numFmtId="0" fontId="0" fillId="3" borderId="111" xfId="0" applyFill="1" applyBorder="1" applyAlignment="1">
      <alignment vertical="center"/>
    </xf>
    <xf numFmtId="0" fontId="0" fillId="5" borderId="41" xfId="0" applyFill="1" applyBorder="1"/>
    <xf numFmtId="0" fontId="27" fillId="5" borderId="41" xfId="0" applyFont="1" applyFill="1" applyBorder="1" applyAlignment="1">
      <alignment vertical="center"/>
    </xf>
    <xf numFmtId="0" fontId="27" fillId="5" borderId="0" xfId="0" applyFont="1" applyFill="1" applyAlignment="1">
      <alignment vertical="center"/>
    </xf>
    <xf numFmtId="0" fontId="28" fillId="5" borderId="41" xfId="0" applyFont="1" applyFill="1" applyBorder="1" applyAlignment="1">
      <alignment vertical="center"/>
    </xf>
    <xf numFmtId="0" fontId="28" fillId="5" borderId="0" xfId="0" applyFont="1" applyFill="1" applyAlignment="1">
      <alignment vertical="center"/>
    </xf>
    <xf numFmtId="0" fontId="0" fillId="5" borderId="41" xfId="0" applyFill="1" applyBorder="1" applyAlignment="1">
      <alignment vertical="center"/>
    </xf>
    <xf numFmtId="0" fontId="0" fillId="5" borderId="75" xfId="0" applyFill="1" applyBorder="1" applyAlignment="1">
      <alignment horizontal="center" vertical="center"/>
    </xf>
    <xf numFmtId="0" fontId="0" fillId="5" borderId="67" xfId="0" applyFill="1" applyBorder="1" applyAlignment="1">
      <alignment horizontal="center" vertical="center"/>
    </xf>
    <xf numFmtId="0" fontId="0" fillId="0" borderId="0" xfId="0" applyAlignment="1">
      <alignment horizontal="center" vertical="center" wrapText="1"/>
    </xf>
    <xf numFmtId="0" fontId="6" fillId="3" borderId="5" xfId="0" applyFont="1" applyFill="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0" xfId="0" applyFont="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16" fillId="5" borderId="17" xfId="0" applyFont="1" applyFill="1" applyBorder="1" applyAlignment="1">
      <alignment horizontal="center"/>
    </xf>
    <xf numFmtId="0" fontId="14" fillId="3" borderId="0" xfId="0" applyFont="1" applyFill="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23" xfId="0" applyFont="1" applyFill="1" applyBorder="1" applyAlignment="1">
      <alignment horizontal="center" vertical="center"/>
    </xf>
    <xf numFmtId="0" fontId="37" fillId="4" borderId="24" xfId="0" applyFont="1" applyFill="1" applyBorder="1" applyAlignment="1">
      <alignment horizontal="center" vertical="center"/>
    </xf>
    <xf numFmtId="0" fontId="0" fillId="14" borderId="63" xfId="0" applyFill="1" applyBorder="1" applyAlignment="1">
      <alignment horizontal="center"/>
    </xf>
    <xf numFmtId="0" fontId="0" fillId="14" borderId="64" xfId="0" applyFill="1" applyBorder="1" applyAlignment="1">
      <alignment horizontal="center"/>
    </xf>
    <xf numFmtId="0" fontId="0" fillId="14" borderId="65" xfId="0" applyFill="1" applyBorder="1" applyAlignment="1">
      <alignment horizontal="center"/>
    </xf>
    <xf numFmtId="0" fontId="0" fillId="14" borderId="13" xfId="0" applyFill="1" applyBorder="1" applyAlignment="1">
      <alignment horizontal="center"/>
    </xf>
    <xf numFmtId="0" fontId="0" fillId="14" borderId="0" xfId="0" applyFill="1" applyAlignment="1">
      <alignment horizontal="center"/>
    </xf>
    <xf numFmtId="0" fontId="0" fillId="14" borderId="52" xfId="0" applyFill="1" applyBorder="1" applyAlignment="1">
      <alignment horizontal="center"/>
    </xf>
    <xf numFmtId="0" fontId="0" fillId="14" borderId="66" xfId="0" applyFill="1" applyBorder="1" applyAlignment="1">
      <alignment horizontal="center"/>
    </xf>
    <xf numFmtId="0" fontId="0" fillId="14" borderId="67" xfId="0" applyFill="1" applyBorder="1" applyAlignment="1">
      <alignment horizontal="center"/>
    </xf>
    <xf numFmtId="0" fontId="0" fillId="14" borderId="68" xfId="0" applyFill="1" applyBorder="1" applyAlignment="1">
      <alignment horizontal="center"/>
    </xf>
    <xf numFmtId="0" fontId="0" fillId="13" borderId="63" xfId="0" applyFill="1" applyBorder="1" applyAlignment="1">
      <alignment horizontal="center"/>
    </xf>
    <xf numFmtId="0" fontId="0" fillId="13" borderId="64" xfId="0" applyFill="1" applyBorder="1" applyAlignment="1">
      <alignment horizontal="center"/>
    </xf>
    <xf numFmtId="0" fontId="0" fillId="13" borderId="65" xfId="0" applyFill="1" applyBorder="1" applyAlignment="1">
      <alignment horizontal="center"/>
    </xf>
    <xf numFmtId="0" fontId="0" fillId="13" borderId="66" xfId="0" applyFill="1" applyBorder="1" applyAlignment="1">
      <alignment horizontal="center"/>
    </xf>
    <xf numFmtId="0" fontId="0" fillId="13" borderId="67" xfId="0" applyFill="1" applyBorder="1" applyAlignment="1">
      <alignment horizontal="center"/>
    </xf>
    <xf numFmtId="0" fontId="0" fillId="13" borderId="68" xfId="0" applyFill="1" applyBorder="1" applyAlignment="1">
      <alignment horizontal="center"/>
    </xf>
    <xf numFmtId="0" fontId="0" fillId="5" borderId="78" xfId="0" applyFill="1" applyBorder="1" applyAlignment="1">
      <alignment horizontal="center" vertical="center"/>
    </xf>
    <xf numFmtId="0" fontId="0" fillId="5" borderId="79" xfId="0" applyFill="1" applyBorder="1" applyAlignment="1">
      <alignment horizontal="center" vertical="center"/>
    </xf>
    <xf numFmtId="0" fontId="0" fillId="5" borderId="80" xfId="0" applyFill="1" applyBorder="1" applyAlignment="1">
      <alignment horizontal="center" vertical="center"/>
    </xf>
    <xf numFmtId="0" fontId="44" fillId="5" borderId="83" xfId="0" applyFont="1" applyFill="1" applyBorder="1" applyAlignment="1">
      <alignment horizontal="left" vertical="center"/>
    </xf>
    <xf numFmtId="0" fontId="44" fillId="5" borderId="84" xfId="0" applyFont="1" applyFill="1" applyBorder="1" applyAlignment="1">
      <alignment horizontal="left" vertical="center"/>
    </xf>
    <xf numFmtId="0" fontId="44" fillId="5" borderId="85" xfId="0" applyFont="1" applyFill="1" applyBorder="1" applyAlignment="1">
      <alignment horizontal="left" vertical="center"/>
    </xf>
    <xf numFmtId="0" fontId="44" fillId="5" borderId="74" xfId="0" applyFont="1" applyFill="1" applyBorder="1" applyAlignment="1">
      <alignment horizontal="left" vertical="center"/>
    </xf>
    <xf numFmtId="0" fontId="44" fillId="5" borderId="75" xfId="0" applyFont="1" applyFill="1" applyBorder="1" applyAlignment="1">
      <alignment horizontal="left" vertical="center"/>
    </xf>
    <xf numFmtId="0" fontId="44" fillId="5" borderId="76" xfId="0" applyFont="1" applyFill="1" applyBorder="1" applyAlignment="1">
      <alignment horizontal="left" vertical="center"/>
    </xf>
    <xf numFmtId="0" fontId="45" fillId="5" borderId="69" xfId="0" applyFont="1" applyFill="1" applyBorder="1" applyAlignment="1">
      <alignment horizontal="left" vertical="center"/>
    </xf>
    <xf numFmtId="0" fontId="45" fillId="5" borderId="70" xfId="0" applyFont="1" applyFill="1" applyBorder="1" applyAlignment="1">
      <alignment horizontal="left" vertical="center"/>
    </xf>
    <xf numFmtId="0" fontId="45" fillId="5" borderId="71" xfId="0" applyFont="1" applyFill="1" applyBorder="1" applyAlignment="1">
      <alignment horizontal="left" vertical="center"/>
    </xf>
    <xf numFmtId="0" fontId="30" fillId="0" borderId="36" xfId="0" applyFont="1" applyBorder="1" applyAlignment="1">
      <alignment horizontal="center" vertical="center"/>
    </xf>
    <xf numFmtId="0" fontId="30" fillId="0" borderId="37" xfId="0" applyFont="1" applyBorder="1" applyAlignment="1">
      <alignment horizontal="center" vertical="center"/>
    </xf>
    <xf numFmtId="0" fontId="20" fillId="0" borderId="36" xfId="0" applyFont="1" applyBorder="1" applyAlignment="1">
      <alignment horizontal="center" vertical="center"/>
    </xf>
    <xf numFmtId="0" fontId="20" fillId="0" borderId="37" xfId="0" applyFont="1" applyBorder="1" applyAlignment="1">
      <alignment horizontal="center" vertical="center"/>
    </xf>
    <xf numFmtId="0" fontId="20" fillId="3" borderId="27" xfId="0" applyFont="1" applyFill="1" applyBorder="1" applyAlignment="1">
      <alignment horizontal="center" vertical="center"/>
    </xf>
    <xf numFmtId="0" fontId="20" fillId="3" borderId="28" xfId="0" applyFont="1" applyFill="1" applyBorder="1" applyAlignment="1">
      <alignment horizontal="center" vertical="center"/>
    </xf>
    <xf numFmtId="0" fontId="35" fillId="0" borderId="44" xfId="0" applyFont="1" applyBorder="1" applyAlignment="1" applyProtection="1">
      <alignment horizontal="center"/>
      <protection locked="0"/>
    </xf>
    <xf numFmtId="0" fontId="35" fillId="0" borderId="45" xfId="0" applyFont="1" applyBorder="1" applyAlignment="1" applyProtection="1">
      <alignment horizontal="center"/>
      <protection locked="0"/>
    </xf>
    <xf numFmtId="0" fontId="35" fillId="0" borderId="46" xfId="0" applyFont="1" applyBorder="1" applyAlignment="1" applyProtection="1">
      <alignment horizontal="center"/>
      <protection locked="0"/>
    </xf>
    <xf numFmtId="0" fontId="35" fillId="0" borderId="47" xfId="0" applyFont="1" applyBorder="1" applyAlignment="1" applyProtection="1">
      <alignment horizontal="center"/>
      <protection locked="0"/>
    </xf>
    <xf numFmtId="0" fontId="35" fillId="0" borderId="0" xfId="0" applyFont="1" applyAlignment="1" applyProtection="1">
      <alignment horizontal="center"/>
      <protection locked="0"/>
    </xf>
    <xf numFmtId="0" fontId="35" fillId="0" borderId="48" xfId="0" applyFont="1" applyBorder="1" applyAlignment="1" applyProtection="1">
      <alignment horizontal="center"/>
      <protection locked="0"/>
    </xf>
    <xf numFmtId="0" fontId="35" fillId="0" borderId="49" xfId="0" applyFont="1" applyBorder="1" applyAlignment="1" applyProtection="1">
      <alignment horizontal="center"/>
      <protection locked="0"/>
    </xf>
    <xf numFmtId="0" fontId="35" fillId="0" borderId="50" xfId="0" applyFont="1" applyBorder="1" applyAlignment="1" applyProtection="1">
      <alignment horizontal="center"/>
      <protection locked="0"/>
    </xf>
    <xf numFmtId="0" fontId="35" fillId="0" borderId="51" xfId="0" applyFont="1" applyBorder="1" applyAlignment="1" applyProtection="1">
      <alignment horizontal="center"/>
      <protection locked="0"/>
    </xf>
    <xf numFmtId="0" fontId="41" fillId="5" borderId="0" xfId="0" applyFont="1" applyFill="1" applyAlignment="1">
      <alignment horizontal="center" vertical="center"/>
    </xf>
    <xf numFmtId="0" fontId="41" fillId="5" borderId="0" xfId="0" applyFont="1" applyFill="1" applyAlignment="1">
      <alignment horizont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28" fillId="0" borderId="31" xfId="0" applyFont="1" applyBorder="1" applyAlignment="1">
      <alignment horizontal="center" vertical="center"/>
    </xf>
    <xf numFmtId="0" fontId="28" fillId="0" borderId="34" xfId="0" applyFont="1" applyBorder="1" applyAlignment="1">
      <alignment horizontal="center" vertical="center"/>
    </xf>
    <xf numFmtId="0" fontId="28" fillId="0" borderId="32" xfId="0" applyFont="1" applyBorder="1" applyAlignment="1">
      <alignment horizontal="center" vertical="center"/>
    </xf>
    <xf numFmtId="0" fontId="27" fillId="0" borderId="29" xfId="0" applyFont="1" applyBorder="1" applyAlignment="1">
      <alignment horizontal="center" vertical="center"/>
    </xf>
    <xf numFmtId="0" fontId="27" fillId="0" borderId="30" xfId="0" applyFont="1" applyBorder="1" applyAlignment="1">
      <alignment horizontal="center" vertical="center"/>
    </xf>
    <xf numFmtId="0" fontId="27" fillId="0" borderId="33" xfId="0" applyFont="1" applyBorder="1" applyAlignment="1">
      <alignment horizontal="center" vertical="center"/>
    </xf>
    <xf numFmtId="0" fontId="20" fillId="11" borderId="0" xfId="0" applyFont="1" applyFill="1" applyAlignment="1">
      <alignment horizontal="center"/>
    </xf>
    <xf numFmtId="0" fontId="40" fillId="4" borderId="53" xfId="0" applyFont="1" applyFill="1" applyBorder="1" applyAlignment="1">
      <alignment horizontal="center" vertical="center"/>
    </xf>
    <xf numFmtId="0" fontId="40" fillId="4" borderId="54" xfId="0" applyFont="1" applyFill="1" applyBorder="1" applyAlignment="1">
      <alignment horizontal="center" vertical="center"/>
    </xf>
    <xf numFmtId="0" fontId="40" fillId="4" borderId="55" xfId="0" applyFont="1" applyFill="1" applyBorder="1" applyAlignment="1">
      <alignment horizontal="center" vertical="center"/>
    </xf>
    <xf numFmtId="0" fontId="40" fillId="4" borderId="56" xfId="0" applyFont="1" applyFill="1" applyBorder="1" applyAlignment="1">
      <alignment horizontal="center" vertical="center"/>
    </xf>
    <xf numFmtId="0" fontId="40" fillId="4" borderId="0" xfId="0" applyFont="1" applyFill="1" applyAlignment="1">
      <alignment horizontal="center" vertical="center"/>
    </xf>
    <xf numFmtId="0" fontId="40" fillId="4" borderId="57" xfId="0" applyFont="1" applyFill="1" applyBorder="1" applyAlignment="1">
      <alignment horizontal="center" vertical="center"/>
    </xf>
    <xf numFmtId="0" fontId="40" fillId="4" borderId="106" xfId="0" applyFont="1" applyFill="1" applyBorder="1" applyAlignment="1">
      <alignment horizontal="center" vertical="center"/>
    </xf>
    <xf numFmtId="0" fontId="40" fillId="4" borderId="64" xfId="0" applyFont="1" applyFill="1" applyBorder="1" applyAlignment="1">
      <alignment horizontal="center" vertical="center"/>
    </xf>
    <xf numFmtId="0" fontId="40" fillId="4" borderId="107" xfId="0" applyFont="1" applyFill="1" applyBorder="1" applyAlignment="1">
      <alignment horizontal="center" vertical="center"/>
    </xf>
    <xf numFmtId="0" fontId="40" fillId="4" borderId="58" xfId="0" applyFont="1" applyFill="1" applyBorder="1" applyAlignment="1">
      <alignment horizontal="center" vertical="center"/>
    </xf>
    <xf numFmtId="0" fontId="40" fillId="4" borderId="59" xfId="0" applyFont="1" applyFill="1" applyBorder="1" applyAlignment="1">
      <alignment horizontal="center" vertical="center"/>
    </xf>
    <xf numFmtId="0" fontId="40" fillId="4" borderId="60" xfId="0" applyFont="1" applyFill="1" applyBorder="1" applyAlignment="1">
      <alignment horizontal="center" vertical="center"/>
    </xf>
    <xf numFmtId="0" fontId="41" fillId="0" borderId="0" xfId="0" applyFont="1" applyAlignment="1">
      <alignment horizontal="center" vertical="center"/>
    </xf>
    <xf numFmtId="0" fontId="0" fillId="0" borderId="27" xfId="0" applyBorder="1" applyAlignment="1">
      <alignment horizontal="center" vertical="center"/>
    </xf>
    <xf numFmtId="0" fontId="29" fillId="0" borderId="27" xfId="0" applyFont="1" applyBorder="1" applyAlignment="1">
      <alignment horizontal="center" vertical="center"/>
    </xf>
    <xf numFmtId="0" fontId="0" fillId="0" borderId="28" xfId="0" applyBorder="1" applyAlignment="1">
      <alignment horizontal="center" vertical="center"/>
    </xf>
    <xf numFmtId="0" fontId="38" fillId="4" borderId="29" xfId="0" applyFont="1" applyFill="1" applyBorder="1" applyAlignment="1">
      <alignment horizontal="center" vertical="center"/>
    </xf>
    <xf numFmtId="0" fontId="38" fillId="4" borderId="30" xfId="0" applyFont="1" applyFill="1" applyBorder="1" applyAlignment="1">
      <alignment horizontal="center" vertical="center"/>
    </xf>
    <xf numFmtId="0" fontId="24" fillId="0" borderId="26" xfId="0" applyFont="1" applyBorder="1" applyAlignment="1" applyProtection="1">
      <alignment horizontal="center" vertical="center"/>
      <protection locked="0"/>
    </xf>
    <xf numFmtId="0" fontId="24" fillId="0" borderId="27" xfId="0" applyFont="1" applyBorder="1" applyAlignment="1" applyProtection="1">
      <alignment horizontal="center" vertical="center"/>
      <protection locked="0"/>
    </xf>
    <xf numFmtId="0" fontId="24" fillId="0" borderId="28" xfId="0" applyFont="1" applyBorder="1" applyAlignment="1" applyProtection="1">
      <alignment horizontal="center" vertical="center"/>
      <protection locked="0"/>
    </xf>
    <xf numFmtId="0" fontId="38" fillId="4" borderId="33" xfId="0" applyFont="1" applyFill="1" applyBorder="1" applyAlignment="1">
      <alignment horizontal="center" vertical="center"/>
    </xf>
    <xf numFmtId="0" fontId="20" fillId="9" borderId="27" xfId="0" applyFont="1" applyFill="1" applyBorder="1" applyAlignment="1" applyProtection="1">
      <alignment horizontal="center" vertical="center"/>
      <protection locked="0"/>
    </xf>
    <xf numFmtId="0" fontId="20" fillId="9" borderId="28" xfId="0" applyFont="1" applyFill="1" applyBorder="1" applyAlignment="1" applyProtection="1">
      <alignment horizontal="center" vertical="center"/>
      <protection locked="0"/>
    </xf>
    <xf numFmtId="0" fontId="0" fillId="5" borderId="104" xfId="0" applyFill="1" applyBorder="1" applyAlignment="1">
      <alignment horizontal="center" vertical="center"/>
    </xf>
    <xf numFmtId="0" fontId="0" fillId="5" borderId="75" xfId="0" applyFill="1" applyBorder="1" applyAlignment="1">
      <alignment horizontal="center" vertical="center"/>
    </xf>
    <xf numFmtId="0" fontId="0" fillId="5" borderId="67" xfId="0" applyFill="1" applyBorder="1" applyAlignment="1">
      <alignment horizontal="center" vertical="center"/>
    </xf>
    <xf numFmtId="0" fontId="0" fillId="5" borderId="105" xfId="0" applyFill="1" applyBorder="1" applyAlignment="1">
      <alignment horizontal="center" vertical="center"/>
    </xf>
    <xf numFmtId="0" fontId="20" fillId="5" borderId="0" xfId="0" applyFont="1" applyFill="1" applyAlignment="1">
      <alignment horizontal="center"/>
    </xf>
    <xf numFmtId="0" fontId="20" fillId="9" borderId="91" xfId="0" applyFont="1" applyFill="1" applyBorder="1" applyAlignment="1" applyProtection="1">
      <alignment horizontal="center" vertical="center"/>
      <protection locked="0"/>
    </xf>
    <xf numFmtId="0" fontId="20" fillId="9" borderId="92" xfId="0" applyFont="1" applyFill="1" applyBorder="1" applyAlignment="1" applyProtection="1">
      <alignment horizontal="center" vertical="center"/>
      <protection locked="0"/>
    </xf>
    <xf numFmtId="0" fontId="0" fillId="5" borderId="93" xfId="0" applyFill="1" applyBorder="1" applyAlignment="1">
      <alignment horizontal="center" vertical="center"/>
    </xf>
    <xf numFmtId="0" fontId="0" fillId="5" borderId="94" xfId="0" applyFill="1" applyBorder="1" applyAlignment="1">
      <alignment horizontal="center" vertical="center"/>
    </xf>
    <xf numFmtId="0" fontId="0" fillId="5" borderId="95" xfId="0" applyFill="1" applyBorder="1" applyAlignment="1">
      <alignment horizontal="center" vertical="center"/>
    </xf>
    <xf numFmtId="0" fontId="0" fillId="12" borderId="63" xfId="0" applyFill="1" applyBorder="1" applyAlignment="1">
      <alignment horizontal="center" vertical="center" wrapText="1"/>
    </xf>
    <xf numFmtId="0" fontId="0" fillId="12" borderId="64" xfId="0" applyFill="1" applyBorder="1" applyAlignment="1">
      <alignment horizontal="center" vertical="center" wrapText="1"/>
    </xf>
    <xf numFmtId="0" fontId="0" fillId="12" borderId="65" xfId="0" applyFill="1" applyBorder="1" applyAlignment="1">
      <alignment horizontal="center" vertical="center" wrapText="1"/>
    </xf>
    <xf numFmtId="0" fontId="0" fillId="12" borderId="13" xfId="0" applyFill="1" applyBorder="1" applyAlignment="1">
      <alignment horizontal="center" vertical="center" wrapText="1"/>
    </xf>
    <xf numFmtId="0" fontId="0" fillId="12" borderId="0" xfId="0" applyFill="1" applyAlignment="1">
      <alignment horizontal="center" vertical="center" wrapText="1"/>
    </xf>
    <xf numFmtId="0" fontId="0" fillId="12" borderId="52" xfId="0" applyFill="1" applyBorder="1" applyAlignment="1">
      <alignment horizontal="center" vertical="center" wrapText="1"/>
    </xf>
    <xf numFmtId="0" fontId="0" fillId="12" borderId="66" xfId="0" applyFill="1" applyBorder="1" applyAlignment="1">
      <alignment horizontal="center" vertical="center" wrapText="1"/>
    </xf>
    <xf numFmtId="0" fontId="0" fillId="12" borderId="67" xfId="0" applyFill="1" applyBorder="1" applyAlignment="1">
      <alignment horizontal="center" vertical="center" wrapText="1"/>
    </xf>
    <xf numFmtId="0" fontId="0" fillId="12" borderId="68" xfId="0" applyFill="1" applyBorder="1" applyAlignment="1">
      <alignment horizontal="center" vertical="center" wrapText="1"/>
    </xf>
    <xf numFmtId="0" fontId="46" fillId="5" borderId="96" xfId="0" applyFont="1" applyFill="1" applyBorder="1" applyAlignment="1">
      <alignment horizontal="left" vertical="center"/>
    </xf>
    <xf numFmtId="0" fontId="46" fillId="5" borderId="97" xfId="0" applyFont="1" applyFill="1" applyBorder="1" applyAlignment="1">
      <alignment horizontal="left" vertical="center"/>
    </xf>
    <xf numFmtId="0" fontId="46" fillId="5" borderId="98" xfId="0" applyFont="1" applyFill="1" applyBorder="1" applyAlignment="1">
      <alignment horizontal="left" vertical="center"/>
    </xf>
    <xf numFmtId="0" fontId="46" fillId="5" borderId="99" xfId="0" applyFont="1" applyFill="1" applyBorder="1" applyAlignment="1">
      <alignment horizontal="left" vertical="center"/>
    </xf>
    <xf numFmtId="0" fontId="46" fillId="5" borderId="100" xfId="0" applyFont="1" applyFill="1" applyBorder="1" applyAlignment="1">
      <alignment horizontal="left" vertical="center"/>
    </xf>
    <xf numFmtId="0" fontId="46" fillId="5" borderId="101" xfId="0" applyFont="1" applyFill="1" applyBorder="1" applyAlignment="1">
      <alignment horizontal="left" vertical="center"/>
    </xf>
    <xf numFmtId="0" fontId="47" fillId="0" borderId="86" xfId="0" applyFont="1" applyBorder="1" applyAlignment="1" applyProtection="1">
      <alignment horizontal="center" vertical="center"/>
      <protection locked="0"/>
    </xf>
    <xf numFmtId="0" fontId="47" fillId="0" borderId="0" xfId="0" applyFont="1" applyAlignment="1" applyProtection="1">
      <alignment horizontal="center" vertical="center"/>
      <protection locked="0"/>
    </xf>
    <xf numFmtId="0" fontId="47" fillId="4" borderId="88" xfId="0" applyFont="1" applyFill="1" applyBorder="1" applyAlignment="1" applyProtection="1">
      <alignment horizontal="center" vertical="center"/>
      <protection locked="0"/>
    </xf>
    <xf numFmtId="0" fontId="47" fillId="4" borderId="89" xfId="0" applyFont="1" applyFill="1" applyBorder="1" applyAlignment="1" applyProtection="1">
      <alignment horizontal="center" vertical="center"/>
      <protection locked="0"/>
    </xf>
    <xf numFmtId="0" fontId="47" fillId="4" borderId="87" xfId="0" applyFont="1" applyFill="1" applyBorder="1" applyAlignment="1" applyProtection="1">
      <alignment horizontal="center" vertical="center"/>
      <protection locked="0"/>
    </xf>
    <xf numFmtId="0" fontId="20" fillId="12" borderId="44" xfId="0" applyFont="1" applyFill="1" applyBorder="1" applyAlignment="1">
      <alignment horizontal="center" vertical="center" wrapText="1"/>
    </xf>
    <xf numFmtId="0" fontId="20" fillId="12" borderId="45" xfId="0" applyFont="1" applyFill="1" applyBorder="1" applyAlignment="1">
      <alignment horizontal="center" vertical="center" wrapText="1"/>
    </xf>
    <xf numFmtId="0" fontId="20" fillId="12" borderId="46" xfId="0" applyFont="1" applyFill="1" applyBorder="1" applyAlignment="1">
      <alignment horizontal="center" vertical="center" wrapText="1"/>
    </xf>
    <xf numFmtId="0" fontId="20" fillId="12" borderId="47" xfId="0" applyFont="1" applyFill="1" applyBorder="1" applyAlignment="1">
      <alignment horizontal="center" vertical="center" wrapText="1"/>
    </xf>
    <xf numFmtId="0" fontId="20" fillId="12" borderId="0" xfId="0" applyFont="1" applyFill="1" applyAlignment="1">
      <alignment horizontal="center" vertical="center" wrapText="1"/>
    </xf>
    <xf numFmtId="0" fontId="20" fillId="12" borderId="48" xfId="0" applyFont="1" applyFill="1" applyBorder="1" applyAlignment="1">
      <alignment horizontal="center" vertical="center" wrapText="1"/>
    </xf>
    <xf numFmtId="0" fontId="20" fillId="12" borderId="49" xfId="0" applyFont="1" applyFill="1" applyBorder="1" applyAlignment="1">
      <alignment horizontal="center" vertical="center" wrapText="1"/>
    </xf>
    <xf numFmtId="0" fontId="20" fillId="12" borderId="50" xfId="0" applyFont="1" applyFill="1" applyBorder="1" applyAlignment="1">
      <alignment horizontal="center" vertical="center" wrapText="1"/>
    </xf>
    <xf numFmtId="0" fontId="20" fillId="12" borderId="51" xfId="0" applyFont="1" applyFill="1" applyBorder="1" applyAlignment="1">
      <alignment horizontal="center" vertical="center" wrapText="1"/>
    </xf>
    <xf numFmtId="0" fontId="0" fillId="5" borderId="108" xfId="0" applyFill="1" applyBorder="1" applyAlignment="1">
      <alignment horizontal="left" vertical="center"/>
    </xf>
    <xf numFmtId="0" fontId="0" fillId="5" borderId="109" xfId="0" applyFill="1" applyBorder="1" applyAlignment="1">
      <alignment horizontal="left" vertical="center"/>
    </xf>
    <xf numFmtId="0" fontId="0" fillId="5" borderId="110" xfId="0" applyFill="1" applyBorder="1" applyAlignment="1">
      <alignment horizontal="left" vertical="center"/>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52" xfId="0"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68" xfId="0" applyBorder="1" applyAlignment="1">
      <alignment horizontal="center" vertical="center" wrapText="1"/>
    </xf>
    <xf numFmtId="0" fontId="44" fillId="0" borderId="0" xfId="0" applyFont="1" applyAlignment="1">
      <alignment horizontal="center" vertical="center" wrapText="1"/>
    </xf>
    <xf numFmtId="0" fontId="44" fillId="0" borderId="63"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13" xfId="0" applyFont="1" applyBorder="1" applyAlignment="1">
      <alignment horizontal="left" vertical="center" wrapText="1"/>
    </xf>
    <xf numFmtId="0" fontId="44" fillId="0" borderId="0" xfId="0" applyFont="1" applyAlignment="1">
      <alignment horizontal="left" vertical="center" wrapText="1"/>
    </xf>
    <xf numFmtId="0" fontId="44" fillId="0" borderId="52" xfId="0" applyFont="1" applyBorder="1" applyAlignment="1">
      <alignment horizontal="left" vertical="center" wrapText="1"/>
    </xf>
    <xf numFmtId="0" fontId="44" fillId="0" borderId="66" xfId="0" applyFont="1" applyBorder="1" applyAlignment="1">
      <alignment horizontal="left" vertical="center" wrapText="1"/>
    </xf>
    <xf numFmtId="0" fontId="44" fillId="0" borderId="67" xfId="0" applyFont="1" applyBorder="1" applyAlignment="1">
      <alignment horizontal="left" vertical="center" wrapText="1"/>
    </xf>
    <xf numFmtId="0" fontId="44" fillId="0" borderId="68" xfId="0" applyFont="1" applyBorder="1" applyAlignment="1">
      <alignment horizontal="left" vertical="center" wrapText="1"/>
    </xf>
    <xf numFmtId="0" fontId="44" fillId="0" borderId="63"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65"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52" xfId="0" applyFont="1" applyBorder="1" applyAlignment="1">
      <alignment horizontal="center" vertical="center" wrapText="1"/>
    </xf>
    <xf numFmtId="0" fontId="44" fillId="0" borderId="66" xfId="0" applyFont="1" applyBorder="1" applyAlignment="1">
      <alignment horizontal="center" vertical="center" wrapText="1"/>
    </xf>
    <xf numFmtId="0" fontId="44" fillId="0" borderId="67" xfId="0" applyFont="1" applyBorder="1" applyAlignment="1">
      <alignment horizontal="center" vertical="center" wrapText="1"/>
    </xf>
    <xf numFmtId="0" fontId="44" fillId="0" borderId="68" xfId="0" applyFont="1" applyBorder="1" applyAlignment="1">
      <alignment horizontal="center" vertical="center" wrapText="1"/>
    </xf>
    <xf numFmtId="0" fontId="1" fillId="0" borderId="0" xfId="0" applyFont="1" applyAlignment="1">
      <alignment horizontal="center" vertical="center"/>
    </xf>
    <xf numFmtId="0" fontId="1" fillId="0" borderId="13" xfId="0" applyFont="1" applyBorder="1" applyAlignment="1">
      <alignment horizontal="center" vertical="center"/>
    </xf>
    <xf numFmtId="0" fontId="0" fillId="5" borderId="0" xfId="0" applyFill="1" applyBorder="1"/>
    <xf numFmtId="0" fontId="0" fillId="5" borderId="67" xfId="0" applyFill="1" applyBorder="1"/>
    <xf numFmtId="0" fontId="40" fillId="5" borderId="0" xfId="0" applyFont="1" applyFill="1" applyBorder="1" applyAlignment="1">
      <alignment horizontal="center" vertical="center"/>
    </xf>
    <xf numFmtId="0" fontId="40" fillId="5" borderId="0" xfId="0" applyFont="1" applyFill="1" applyBorder="1" applyAlignment="1">
      <alignment vertical="center"/>
    </xf>
    <xf numFmtId="0" fontId="0" fillId="5" borderId="0" xfId="0" applyFill="1" applyBorder="1" applyAlignment="1">
      <alignment horizontal="center" vertical="center"/>
    </xf>
    <xf numFmtId="0" fontId="40" fillId="4" borderId="54" xfId="0" applyFont="1" applyFill="1" applyBorder="1" applyAlignment="1">
      <alignment horizontal="center" vertical="center" wrapText="1"/>
    </xf>
    <xf numFmtId="0" fontId="40" fillId="4" borderId="55" xfId="0" applyFont="1" applyFill="1" applyBorder="1" applyAlignment="1">
      <alignment horizontal="center" vertical="center" wrapText="1"/>
    </xf>
    <xf numFmtId="0" fontId="40" fillId="4" borderId="0" xfId="0" applyFont="1" applyFill="1" applyBorder="1" applyAlignment="1">
      <alignment horizontal="center" vertical="center" wrapText="1"/>
    </xf>
    <xf numFmtId="0" fontId="40" fillId="4" borderId="57" xfId="0" applyFont="1" applyFill="1" applyBorder="1" applyAlignment="1">
      <alignment horizontal="center" vertical="center" wrapText="1"/>
    </xf>
    <xf numFmtId="0" fontId="40" fillId="4" borderId="59" xfId="0" applyFont="1" applyFill="1" applyBorder="1" applyAlignment="1">
      <alignment horizontal="center" vertical="center" wrapText="1"/>
    </xf>
    <xf numFmtId="0" fontId="40" fillId="4" borderId="60" xfId="0" applyFont="1" applyFill="1" applyBorder="1" applyAlignment="1">
      <alignment horizontal="center" vertical="center" wrapText="1"/>
    </xf>
    <xf numFmtId="0" fontId="0" fillId="16" borderId="1" xfId="0" applyFill="1" applyBorder="1" applyAlignment="1">
      <alignment horizontal="center" vertical="center"/>
    </xf>
    <xf numFmtId="0" fontId="0" fillId="16" borderId="36" xfId="0" applyFill="1" applyBorder="1" applyAlignment="1">
      <alignment horizontal="center" vertical="center"/>
    </xf>
    <xf numFmtId="0" fontId="0" fillId="16" borderId="37" xfId="0" applyFill="1" applyBorder="1" applyAlignment="1">
      <alignment horizontal="center" vertical="center"/>
    </xf>
    <xf numFmtId="0" fontId="24" fillId="5" borderId="0" xfId="0" applyFont="1" applyFill="1" applyBorder="1"/>
    <xf numFmtId="0" fontId="48" fillId="15" borderId="0" xfId="0" applyFont="1" applyFill="1" applyAlignment="1">
      <alignment horizontal="center" vertical="center"/>
    </xf>
    <xf numFmtId="0" fontId="49" fillId="5" borderId="0" xfId="0" applyFont="1" applyFill="1" applyBorder="1" applyAlignment="1">
      <alignment horizontal="right" vertical="center"/>
    </xf>
    <xf numFmtId="0" fontId="49" fillId="5" borderId="52" xfId="0" applyFont="1" applyFill="1" applyBorder="1" applyAlignment="1">
      <alignment horizontal="right" vertical="center"/>
    </xf>
    <xf numFmtId="0" fontId="40" fillId="6" borderId="36" xfId="0" applyFont="1" applyFill="1" applyBorder="1" applyAlignment="1">
      <alignment horizontal="center" vertical="center"/>
    </xf>
    <xf numFmtId="0" fontId="40" fillId="6" borderId="37" xfId="0" applyFont="1" applyFill="1" applyBorder="1" applyAlignment="1">
      <alignment horizontal="center" vertical="center"/>
    </xf>
    <xf numFmtId="0" fontId="40" fillId="6" borderId="1" xfId="0" applyFont="1" applyFill="1" applyBorder="1" applyAlignment="1">
      <alignment horizontal="center" vertical="center"/>
    </xf>
    <xf numFmtId="0" fontId="40" fillId="4" borderId="53" xfId="0" applyFont="1" applyFill="1" applyBorder="1" applyAlignment="1">
      <alignment horizontal="center" vertical="center" wrapText="1"/>
    </xf>
    <xf numFmtId="0" fontId="40" fillId="4" borderId="56" xfId="0" applyFont="1" applyFill="1" applyBorder="1" applyAlignment="1">
      <alignment horizontal="center" vertical="center" wrapText="1"/>
    </xf>
    <xf numFmtId="0" fontId="40" fillId="4" borderId="58" xfId="0" applyFont="1" applyFill="1" applyBorder="1" applyAlignment="1">
      <alignment horizontal="center" vertical="center" wrapText="1"/>
    </xf>
    <xf numFmtId="0" fontId="40" fillId="5" borderId="0" xfId="0" applyFont="1" applyFill="1" applyBorder="1" applyAlignment="1">
      <alignment vertical="center" wrapText="1"/>
    </xf>
    <xf numFmtId="0" fontId="40" fillId="4" borderId="44" xfId="0" applyFont="1" applyFill="1" applyBorder="1" applyAlignment="1">
      <alignment horizontal="center" vertical="center" wrapText="1"/>
    </xf>
    <xf numFmtId="0" fontId="40" fillId="4" borderId="45" xfId="0" applyFont="1" applyFill="1" applyBorder="1" applyAlignment="1">
      <alignment horizontal="center" vertical="center" wrapText="1"/>
    </xf>
    <xf numFmtId="0" fontId="40" fillId="4" borderId="46" xfId="0" applyFont="1" applyFill="1" applyBorder="1" applyAlignment="1">
      <alignment horizontal="center" vertical="center" wrapText="1"/>
    </xf>
    <xf numFmtId="0" fontId="40" fillId="4" borderId="47" xfId="0" applyFont="1" applyFill="1" applyBorder="1" applyAlignment="1">
      <alignment horizontal="center" vertical="center" wrapText="1"/>
    </xf>
    <xf numFmtId="0" fontId="40" fillId="4" borderId="48" xfId="0" applyFont="1" applyFill="1" applyBorder="1" applyAlignment="1">
      <alignment horizontal="center" vertical="center" wrapText="1"/>
    </xf>
    <xf numFmtId="0" fontId="40" fillId="4" borderId="49" xfId="0" applyFont="1" applyFill="1" applyBorder="1" applyAlignment="1">
      <alignment horizontal="center" vertical="center" wrapText="1"/>
    </xf>
    <xf numFmtId="0" fontId="40" fillId="4" borderId="50" xfId="0" applyFont="1" applyFill="1" applyBorder="1" applyAlignment="1">
      <alignment horizontal="center" vertical="center" wrapText="1"/>
    </xf>
    <xf numFmtId="0" fontId="40" fillId="4" borderId="51" xfId="0" applyFont="1" applyFill="1" applyBorder="1" applyAlignment="1">
      <alignment horizontal="center" vertical="center" wrapText="1"/>
    </xf>
    <xf numFmtId="0" fontId="50" fillId="15" borderId="0" xfId="0" applyFont="1" applyFill="1" applyAlignment="1">
      <alignment horizontal="center" vertical="center"/>
    </xf>
    <xf numFmtId="0" fontId="0" fillId="16" borderId="112" xfId="0" applyFill="1" applyBorder="1" applyAlignment="1">
      <alignment horizontal="center" vertical="center"/>
    </xf>
    <xf numFmtId="0" fontId="31" fillId="11" borderId="0" xfId="0" applyFont="1" applyFill="1" applyAlignment="1">
      <alignment horizontal="right" vertical="center"/>
    </xf>
    <xf numFmtId="0" fontId="31" fillId="11" borderId="0" xfId="0" applyFont="1" applyFill="1" applyAlignment="1">
      <alignment horizontal="center" vertical="center"/>
    </xf>
    <xf numFmtId="0" fontId="36" fillId="11" borderId="0" xfId="0" applyFont="1" applyFill="1" applyAlignment="1">
      <alignment horizontal="center"/>
    </xf>
    <xf numFmtId="0" fontId="36" fillId="11" borderId="0" xfId="0" applyFont="1" applyFill="1"/>
    <xf numFmtId="0" fontId="31" fillId="11" borderId="0" xfId="0" applyFont="1" applyFill="1" applyAlignment="1">
      <alignment horizontal="center"/>
    </xf>
    <xf numFmtId="0" fontId="0" fillId="5" borderId="114" xfId="0" applyFill="1" applyBorder="1"/>
    <xf numFmtId="0" fontId="0" fillId="5" borderId="113" xfId="0" applyFill="1" applyBorder="1"/>
    <xf numFmtId="0" fontId="0" fillId="5" borderId="115" xfId="0" applyFill="1" applyBorder="1"/>
    <xf numFmtId="0" fontId="0" fillId="13" borderId="63" xfId="0" applyFill="1" applyBorder="1" applyAlignment="1">
      <alignment horizontal="center" vertical="center" wrapText="1"/>
    </xf>
    <xf numFmtId="0" fontId="0" fillId="13" borderId="64" xfId="0" applyFill="1" applyBorder="1" applyAlignment="1">
      <alignment horizontal="center" vertical="center" wrapText="1"/>
    </xf>
    <xf numFmtId="0" fontId="0" fillId="13" borderId="65" xfId="0" applyFill="1" applyBorder="1" applyAlignment="1">
      <alignment horizontal="center" vertical="center" wrapText="1"/>
    </xf>
    <xf numFmtId="0" fontId="0" fillId="13" borderId="66" xfId="0" applyFill="1" applyBorder="1" applyAlignment="1">
      <alignment horizontal="center" vertical="center" wrapText="1"/>
    </xf>
    <xf numFmtId="0" fontId="0" fillId="13" borderId="67" xfId="0" applyFill="1" applyBorder="1" applyAlignment="1">
      <alignment horizontal="center" vertical="center" wrapText="1"/>
    </xf>
    <xf numFmtId="0" fontId="0" fillId="13" borderId="68" xfId="0" applyFill="1" applyBorder="1" applyAlignment="1">
      <alignment horizontal="center" vertical="center" wrapText="1"/>
    </xf>
    <xf numFmtId="0" fontId="40" fillId="3" borderId="36" xfId="0" applyFont="1" applyFill="1" applyBorder="1" applyAlignment="1">
      <alignment horizontal="center" vertical="center"/>
    </xf>
    <xf numFmtId="0" fontId="40" fillId="3" borderId="37" xfId="0" applyFont="1" applyFill="1" applyBorder="1" applyAlignment="1">
      <alignment horizontal="center" vertical="center"/>
    </xf>
    <xf numFmtId="0" fontId="40" fillId="3" borderId="1" xfId="0" applyFont="1" applyFill="1" applyBorder="1" applyAlignment="1">
      <alignment horizontal="center" vertical="center"/>
    </xf>
    <xf numFmtId="0" fontId="40" fillId="3" borderId="44" xfId="0" applyFont="1" applyFill="1" applyBorder="1" applyAlignment="1">
      <alignment horizontal="center" vertical="center" wrapText="1"/>
    </xf>
    <xf numFmtId="0" fontId="40" fillId="3" borderId="45" xfId="0" applyFont="1" applyFill="1" applyBorder="1" applyAlignment="1">
      <alignment horizontal="center" vertical="center" wrapText="1"/>
    </xf>
    <xf numFmtId="0" fontId="40" fillId="3" borderId="46" xfId="0" applyFont="1" applyFill="1" applyBorder="1" applyAlignment="1">
      <alignment horizontal="center" vertical="center" wrapText="1"/>
    </xf>
    <xf numFmtId="0" fontId="40" fillId="3" borderId="47" xfId="0" applyFont="1" applyFill="1" applyBorder="1" applyAlignment="1">
      <alignment horizontal="center" vertical="center" wrapText="1"/>
    </xf>
    <xf numFmtId="0" fontId="40" fillId="3" borderId="0" xfId="0" applyFont="1" applyFill="1" applyBorder="1" applyAlignment="1">
      <alignment horizontal="center" vertical="center" wrapText="1"/>
    </xf>
    <xf numFmtId="0" fontId="40" fillId="3" borderId="48" xfId="0" applyFont="1" applyFill="1" applyBorder="1" applyAlignment="1">
      <alignment horizontal="center" vertical="center" wrapText="1"/>
    </xf>
    <xf numFmtId="0" fontId="40" fillId="3" borderId="49" xfId="0" applyFont="1" applyFill="1" applyBorder="1" applyAlignment="1">
      <alignment horizontal="center" vertical="center" wrapText="1"/>
    </xf>
    <xf numFmtId="0" fontId="40" fillId="3" borderId="50" xfId="0" applyFont="1" applyFill="1" applyBorder="1" applyAlignment="1">
      <alignment horizontal="center" vertical="center" wrapText="1"/>
    </xf>
    <xf numFmtId="0" fontId="40" fillId="3" borderId="51" xfId="0" applyFont="1" applyFill="1" applyBorder="1" applyAlignment="1">
      <alignment horizontal="center" vertical="center" wrapText="1"/>
    </xf>
    <xf numFmtId="0" fontId="40" fillId="3" borderId="53" xfId="0" applyFont="1" applyFill="1" applyBorder="1" applyAlignment="1">
      <alignment horizontal="center" vertical="center" wrapText="1"/>
    </xf>
    <xf numFmtId="0" fontId="40" fillId="3" borderId="54" xfId="0" applyFont="1" applyFill="1" applyBorder="1" applyAlignment="1">
      <alignment horizontal="center" vertical="center" wrapText="1"/>
    </xf>
    <xf numFmtId="0" fontId="40" fillId="3" borderId="55" xfId="0" applyFont="1" applyFill="1" applyBorder="1" applyAlignment="1">
      <alignment horizontal="center" vertical="center" wrapText="1"/>
    </xf>
    <xf numFmtId="0" fontId="40" fillId="3" borderId="56" xfId="0" applyFont="1" applyFill="1" applyBorder="1" applyAlignment="1">
      <alignment horizontal="center" vertical="center" wrapText="1"/>
    </xf>
    <xf numFmtId="0" fontId="40" fillId="3" borderId="57" xfId="0" applyFont="1" applyFill="1" applyBorder="1" applyAlignment="1">
      <alignment horizontal="center" vertical="center" wrapText="1"/>
    </xf>
    <xf numFmtId="0" fontId="40" fillId="3" borderId="58" xfId="0" applyFont="1" applyFill="1" applyBorder="1" applyAlignment="1">
      <alignment horizontal="center" vertical="center" wrapText="1"/>
    </xf>
    <xf numFmtId="0" fontId="40" fillId="3" borderId="59" xfId="0" applyFont="1" applyFill="1" applyBorder="1" applyAlignment="1">
      <alignment horizontal="center" vertical="center" wrapText="1"/>
    </xf>
    <xf numFmtId="0" fontId="40" fillId="3" borderId="60" xfId="0" applyFont="1" applyFill="1" applyBorder="1" applyAlignment="1">
      <alignment horizontal="center" vertical="center" wrapText="1"/>
    </xf>
    <xf numFmtId="0" fontId="0" fillId="12" borderId="0" xfId="0" applyFill="1" applyBorder="1" applyAlignment="1">
      <alignment horizontal="center" vertical="center" wrapText="1"/>
    </xf>
  </cellXfs>
  <cellStyles count="1">
    <cellStyle name="Navadno" xfId="0" builtinId="0"/>
  </cellStyles>
  <dxfs count="35">
    <dxf>
      <font>
        <b val="0"/>
        <i val="0"/>
        <strike val="0"/>
        <condense val="0"/>
        <extend val="0"/>
        <outline val="0"/>
        <shadow val="0"/>
        <u val="none"/>
        <vertAlign val="baseline"/>
        <sz val="11"/>
        <color theme="1"/>
        <name val="Calibri Light"/>
        <family val="2"/>
        <scheme val="maj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dxf>
    <dxf>
      <font>
        <b/>
        <i val="0"/>
        <strike val="0"/>
        <condense val="0"/>
        <extend val="0"/>
        <outline val="0"/>
        <shadow val="0"/>
        <u/>
        <vertAlign val="baseline"/>
        <sz val="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top/>
        <bottom/>
        <vertical/>
        <horizontal/>
      </border>
    </dxf>
    <dxf>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dxf>
    <dxf>
      <font>
        <b/>
        <i val="0"/>
        <strike val="0"/>
        <condense val="0"/>
        <extend val="0"/>
        <outline val="0"/>
        <shadow val="0"/>
        <u/>
        <vertAlign val="baseline"/>
        <sz val="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Symbol"/>
        <family val="1"/>
        <charset val="2"/>
        <scheme val="none"/>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Symbol"/>
        <family val="1"/>
        <charset val="2"/>
        <scheme val="none"/>
      </font>
    </dxf>
    <dxf>
      <font>
        <b val="0"/>
        <i val="0"/>
        <strike val="0"/>
        <condense val="0"/>
        <extend val="0"/>
        <outline val="0"/>
        <shadow val="0"/>
        <u val="none"/>
        <vertAlign val="baseline"/>
        <sz val="11"/>
        <color theme="1"/>
        <name val="Symbol"/>
        <family val="1"/>
        <charset val="2"/>
        <scheme val="none"/>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Light"/>
        <family val="2"/>
        <scheme val="maj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FFCC"/>
      <color rgb="FFFF7979"/>
      <color rgb="FFA66500"/>
      <color rgb="FFFACDB4"/>
      <color rgb="FFFFCC66"/>
      <color rgb="FFBFBFBF"/>
      <color rgb="FFCC9900"/>
      <color rgb="FFE7E6E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8</xdr:col>
      <xdr:colOff>0</xdr:colOff>
      <xdr:row>8</xdr:row>
      <xdr:rowOff>104775</xdr:rowOff>
    </xdr:from>
    <xdr:to>
      <xdr:col>9</xdr:col>
      <xdr:colOff>304800</xdr:colOff>
      <xdr:row>8</xdr:row>
      <xdr:rowOff>323850</xdr:rowOff>
    </xdr:to>
    <xdr:sp macro="" textlink="">
      <xdr:nvSpPr>
        <xdr:cNvPr id="7" name="Puščica: petkotnik 6">
          <a:extLst>
            <a:ext uri="{FF2B5EF4-FFF2-40B4-BE49-F238E27FC236}">
              <a16:creationId xmlns:a16="http://schemas.microsoft.com/office/drawing/2014/main" id="{C71CEEAD-F4E9-4D3B-87D0-69C45CF243D9}"/>
            </a:ext>
          </a:extLst>
        </xdr:cNvPr>
        <xdr:cNvSpPr/>
      </xdr:nvSpPr>
      <xdr:spPr>
        <a:xfrm>
          <a:off x="4895850" y="2124075"/>
          <a:ext cx="771525" cy="219075"/>
        </a:xfrm>
        <a:prstGeom prst="homePlate">
          <a:avLst/>
        </a:prstGeom>
        <a:solidFill>
          <a:schemeClr val="accent6">
            <a:lumMod val="40000"/>
            <a:lumOff val="6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8</xdr:col>
      <xdr:colOff>0</xdr:colOff>
      <xdr:row>11</xdr:row>
      <xdr:rowOff>104775</xdr:rowOff>
    </xdr:from>
    <xdr:to>
      <xdr:col>9</xdr:col>
      <xdr:colOff>304800</xdr:colOff>
      <xdr:row>11</xdr:row>
      <xdr:rowOff>323850</xdr:rowOff>
    </xdr:to>
    <xdr:sp macro="" textlink="">
      <xdr:nvSpPr>
        <xdr:cNvPr id="9" name="Puščica: petkotnik 8">
          <a:extLst>
            <a:ext uri="{FF2B5EF4-FFF2-40B4-BE49-F238E27FC236}">
              <a16:creationId xmlns:a16="http://schemas.microsoft.com/office/drawing/2014/main" id="{552D9CCC-7289-4270-BDB3-B6A2188150DB}"/>
            </a:ext>
          </a:extLst>
        </xdr:cNvPr>
        <xdr:cNvSpPr/>
      </xdr:nvSpPr>
      <xdr:spPr>
        <a:xfrm>
          <a:off x="4848225" y="3067050"/>
          <a:ext cx="771525" cy="219075"/>
        </a:xfrm>
        <a:prstGeom prst="homePlate">
          <a:avLst/>
        </a:prstGeom>
        <a:solidFill>
          <a:schemeClr val="accent6">
            <a:lumMod val="40000"/>
            <a:lumOff val="6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8</xdr:col>
      <xdr:colOff>0</xdr:colOff>
      <xdr:row>14</xdr:row>
      <xdr:rowOff>85725</xdr:rowOff>
    </xdr:from>
    <xdr:to>
      <xdr:col>9</xdr:col>
      <xdr:colOff>304800</xdr:colOff>
      <xdr:row>14</xdr:row>
      <xdr:rowOff>304800</xdr:rowOff>
    </xdr:to>
    <xdr:sp macro="" textlink="">
      <xdr:nvSpPr>
        <xdr:cNvPr id="10" name="Puščica: petkotnik 9">
          <a:extLst>
            <a:ext uri="{FF2B5EF4-FFF2-40B4-BE49-F238E27FC236}">
              <a16:creationId xmlns:a16="http://schemas.microsoft.com/office/drawing/2014/main" id="{9FB08035-CEB6-43F2-AD09-88FA714BE8D6}"/>
            </a:ext>
          </a:extLst>
        </xdr:cNvPr>
        <xdr:cNvSpPr/>
      </xdr:nvSpPr>
      <xdr:spPr>
        <a:xfrm>
          <a:off x="4848225" y="3981450"/>
          <a:ext cx="771525" cy="219075"/>
        </a:xfrm>
        <a:prstGeom prst="homePlate">
          <a:avLst/>
        </a:prstGeom>
        <a:solidFill>
          <a:schemeClr val="accent6">
            <a:lumMod val="40000"/>
            <a:lumOff val="6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371475</xdr:colOff>
      <xdr:row>3</xdr:row>
      <xdr:rowOff>85725</xdr:rowOff>
    </xdr:from>
    <xdr:to>
      <xdr:col>10</xdr:col>
      <xdr:colOff>533400</xdr:colOff>
      <xdr:row>5</xdr:row>
      <xdr:rowOff>19050</xdr:rowOff>
    </xdr:to>
    <xdr:sp macro="" textlink="">
      <xdr:nvSpPr>
        <xdr:cNvPr id="2" name="Puščica: desno 1">
          <a:extLst>
            <a:ext uri="{FF2B5EF4-FFF2-40B4-BE49-F238E27FC236}">
              <a16:creationId xmlns:a16="http://schemas.microsoft.com/office/drawing/2014/main" id="{FBCA64A7-813D-6F17-9C65-C69C93A9F4FC}"/>
            </a:ext>
          </a:extLst>
        </xdr:cNvPr>
        <xdr:cNvSpPr/>
      </xdr:nvSpPr>
      <xdr:spPr>
        <a:xfrm>
          <a:off x="6638925" y="676275"/>
          <a:ext cx="771525" cy="33337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xdr:col>
      <xdr:colOff>123825</xdr:colOff>
      <xdr:row>5</xdr:row>
      <xdr:rowOff>133350</xdr:rowOff>
    </xdr:from>
    <xdr:to>
      <xdr:col>2</xdr:col>
      <xdr:colOff>180975</xdr:colOff>
      <xdr:row>8</xdr:row>
      <xdr:rowOff>142875</xdr:rowOff>
    </xdr:to>
    <xdr:sp macro="" textlink="">
      <xdr:nvSpPr>
        <xdr:cNvPr id="3" name="Znak za množenje 2">
          <a:extLst>
            <a:ext uri="{FF2B5EF4-FFF2-40B4-BE49-F238E27FC236}">
              <a16:creationId xmlns:a16="http://schemas.microsoft.com/office/drawing/2014/main" id="{34F5429F-B692-69D5-2BCC-DBF6B3C419EF}"/>
            </a:ext>
          </a:extLst>
        </xdr:cNvPr>
        <xdr:cNvSpPr/>
      </xdr:nvSpPr>
      <xdr:spPr>
        <a:xfrm>
          <a:off x="295275" y="1123950"/>
          <a:ext cx="781050" cy="657225"/>
        </a:xfrm>
        <a:prstGeom prst="mathMultiply">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path path="circle">
            <a:fillToRect l="50000" t="50000" r="50000" b="50000"/>
          </a:path>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19</xdr:col>
      <xdr:colOff>209549</xdr:colOff>
      <xdr:row>9</xdr:row>
      <xdr:rowOff>114300</xdr:rowOff>
    </xdr:from>
    <xdr:to>
      <xdr:col>22</xdr:col>
      <xdr:colOff>9524</xdr:colOff>
      <xdr:row>16</xdr:row>
      <xdr:rowOff>9525</xdr:rowOff>
    </xdr:to>
    <xdr:sp macro="" textlink="">
      <xdr:nvSpPr>
        <xdr:cNvPr id="5" name="Znak za minus 4">
          <a:extLst>
            <a:ext uri="{FF2B5EF4-FFF2-40B4-BE49-F238E27FC236}">
              <a16:creationId xmlns:a16="http://schemas.microsoft.com/office/drawing/2014/main" id="{53350365-CF4F-F461-A2C0-212DA97B699C}"/>
            </a:ext>
          </a:extLst>
        </xdr:cNvPr>
        <xdr:cNvSpPr/>
      </xdr:nvSpPr>
      <xdr:spPr>
        <a:xfrm>
          <a:off x="13820774" y="1943100"/>
          <a:ext cx="1800225" cy="1638300"/>
        </a:xfrm>
        <a:prstGeom prst="mathMinus">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path path="circle">
            <a:fillToRect l="100000" b="100000"/>
          </a:path>
          <a:tileRect t="-100000" r="-100000"/>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I" sz="1100" b="1">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371475</xdr:colOff>
      <xdr:row>3</xdr:row>
      <xdr:rowOff>85725</xdr:rowOff>
    </xdr:from>
    <xdr:to>
      <xdr:col>10</xdr:col>
      <xdr:colOff>533400</xdr:colOff>
      <xdr:row>5</xdr:row>
      <xdr:rowOff>19050</xdr:rowOff>
    </xdr:to>
    <xdr:sp macro="" textlink="">
      <xdr:nvSpPr>
        <xdr:cNvPr id="2" name="Puščica: desno 1">
          <a:extLst>
            <a:ext uri="{FF2B5EF4-FFF2-40B4-BE49-F238E27FC236}">
              <a16:creationId xmlns:a16="http://schemas.microsoft.com/office/drawing/2014/main" id="{0AEC9862-EF91-4714-BE78-129DFA867604}"/>
            </a:ext>
          </a:extLst>
        </xdr:cNvPr>
        <xdr:cNvSpPr/>
      </xdr:nvSpPr>
      <xdr:spPr>
        <a:xfrm>
          <a:off x="6638925" y="676275"/>
          <a:ext cx="771525" cy="33337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180975</xdr:colOff>
      <xdr:row>16</xdr:row>
      <xdr:rowOff>247650</xdr:rowOff>
    </xdr:from>
    <xdr:to>
      <xdr:col>18</xdr:col>
      <xdr:colOff>1076325</xdr:colOff>
      <xdr:row>19</xdr:row>
      <xdr:rowOff>19050</xdr:rowOff>
    </xdr:to>
    <xdr:sp macro="" textlink="">
      <xdr:nvSpPr>
        <xdr:cNvPr id="3" name="Znak za množenje 2">
          <a:extLst>
            <a:ext uri="{FF2B5EF4-FFF2-40B4-BE49-F238E27FC236}">
              <a16:creationId xmlns:a16="http://schemas.microsoft.com/office/drawing/2014/main" id="{F7F7BF75-6E43-4116-BAF1-84E9098118B4}"/>
            </a:ext>
          </a:extLst>
        </xdr:cNvPr>
        <xdr:cNvSpPr/>
      </xdr:nvSpPr>
      <xdr:spPr>
        <a:xfrm>
          <a:off x="12563475" y="4076700"/>
          <a:ext cx="895350" cy="742950"/>
        </a:xfrm>
        <a:prstGeom prst="mathMultiply">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114300</xdr:colOff>
      <xdr:row>9</xdr:row>
      <xdr:rowOff>266700</xdr:rowOff>
    </xdr:from>
    <xdr:to>
      <xdr:col>18</xdr:col>
      <xdr:colOff>1114425</xdr:colOff>
      <xdr:row>14</xdr:row>
      <xdr:rowOff>85725</xdr:rowOff>
    </xdr:to>
    <xdr:sp macro="" textlink="">
      <xdr:nvSpPr>
        <xdr:cNvPr id="4" name="Znak za minus 3">
          <a:extLst>
            <a:ext uri="{FF2B5EF4-FFF2-40B4-BE49-F238E27FC236}">
              <a16:creationId xmlns:a16="http://schemas.microsoft.com/office/drawing/2014/main" id="{B249EC0F-B3F4-4ED0-AD74-1A581B09F25E}"/>
            </a:ext>
          </a:extLst>
        </xdr:cNvPr>
        <xdr:cNvSpPr/>
      </xdr:nvSpPr>
      <xdr:spPr>
        <a:xfrm>
          <a:off x="12496800" y="2143125"/>
          <a:ext cx="1000125" cy="1123950"/>
        </a:xfrm>
        <a:prstGeom prst="mathMinus">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I" sz="1100" b="1">
            <a:solidFill>
              <a:sysClr val="windowText" lastClr="000000"/>
            </a:solidFill>
          </a:endParaRPr>
        </a:p>
      </xdr:txBody>
    </xdr:sp>
    <xdr:clientData/>
  </xdr:twoCellAnchor>
  <xdr:twoCellAnchor>
    <xdr:from>
      <xdr:col>4</xdr:col>
      <xdr:colOff>323850</xdr:colOff>
      <xdr:row>5</xdr:row>
      <xdr:rowOff>42866</xdr:rowOff>
    </xdr:from>
    <xdr:to>
      <xdr:col>4</xdr:col>
      <xdr:colOff>585788</xdr:colOff>
      <xdr:row>7</xdr:row>
      <xdr:rowOff>38104</xdr:rowOff>
    </xdr:to>
    <xdr:sp macro="" textlink="">
      <xdr:nvSpPr>
        <xdr:cNvPr id="5" name="Puščica: črtice desno 4">
          <a:extLst>
            <a:ext uri="{FF2B5EF4-FFF2-40B4-BE49-F238E27FC236}">
              <a16:creationId xmlns:a16="http://schemas.microsoft.com/office/drawing/2014/main" id="{B24150A9-D0A8-1B8B-FC91-CB881526D412}"/>
            </a:ext>
          </a:extLst>
        </xdr:cNvPr>
        <xdr:cNvSpPr/>
      </xdr:nvSpPr>
      <xdr:spPr>
        <a:xfrm rot="5400000">
          <a:off x="2667000" y="1090616"/>
          <a:ext cx="376238" cy="261938"/>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285750</xdr:colOff>
      <xdr:row>14</xdr:row>
      <xdr:rowOff>57150</xdr:rowOff>
    </xdr:from>
    <xdr:to>
      <xdr:col>18</xdr:col>
      <xdr:colOff>923925</xdr:colOff>
      <xdr:row>16</xdr:row>
      <xdr:rowOff>66675</xdr:rowOff>
    </xdr:to>
    <xdr:sp macro="" textlink="">
      <xdr:nvSpPr>
        <xdr:cNvPr id="6" name="Krog: prazno 5">
          <a:extLst>
            <a:ext uri="{FF2B5EF4-FFF2-40B4-BE49-F238E27FC236}">
              <a16:creationId xmlns:a16="http://schemas.microsoft.com/office/drawing/2014/main" id="{71152717-366D-2BA9-79B6-124DB415FD1C}"/>
            </a:ext>
          </a:extLst>
        </xdr:cNvPr>
        <xdr:cNvSpPr/>
      </xdr:nvSpPr>
      <xdr:spPr>
        <a:xfrm>
          <a:off x="12668250" y="3238500"/>
          <a:ext cx="638175" cy="657225"/>
        </a:xfrm>
        <a:prstGeom prst="donut">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solidFill>
              <a:schemeClr val="tx1"/>
            </a:solidFill>
          </a:endParaRPr>
        </a:p>
      </xdr:txBody>
    </xdr:sp>
    <xdr:clientData/>
  </xdr:twoCellAnchor>
  <xdr:twoCellAnchor>
    <xdr:from>
      <xdr:col>26</xdr:col>
      <xdr:colOff>638175</xdr:colOff>
      <xdr:row>20</xdr:row>
      <xdr:rowOff>180975</xdr:rowOff>
    </xdr:from>
    <xdr:to>
      <xdr:col>27</xdr:col>
      <xdr:colOff>266700</xdr:colOff>
      <xdr:row>23</xdr:row>
      <xdr:rowOff>0</xdr:rowOff>
    </xdr:to>
    <xdr:sp macro="" textlink="">
      <xdr:nvSpPr>
        <xdr:cNvPr id="7" name="Puščica: dol 6">
          <a:extLst>
            <a:ext uri="{FF2B5EF4-FFF2-40B4-BE49-F238E27FC236}">
              <a16:creationId xmlns:a16="http://schemas.microsoft.com/office/drawing/2014/main" id="{8E9C81EB-A7BD-54B1-6B21-38C0485B5B24}"/>
            </a:ext>
          </a:extLst>
        </xdr:cNvPr>
        <xdr:cNvSpPr/>
      </xdr:nvSpPr>
      <xdr:spPr>
        <a:xfrm>
          <a:off x="19373850" y="5191125"/>
          <a:ext cx="514350" cy="714375"/>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SI" sz="1100"/>
        </a:p>
      </xdr:txBody>
    </xdr:sp>
    <xdr:clientData/>
  </xdr:twoCellAnchor>
  <xdr:twoCellAnchor>
    <xdr:from>
      <xdr:col>21</xdr:col>
      <xdr:colOff>323851</xdr:colOff>
      <xdr:row>12</xdr:row>
      <xdr:rowOff>28574</xdr:rowOff>
    </xdr:from>
    <xdr:to>
      <xdr:col>22</xdr:col>
      <xdr:colOff>895351</xdr:colOff>
      <xdr:row>16</xdr:row>
      <xdr:rowOff>104774</xdr:rowOff>
    </xdr:to>
    <xdr:sp macro="" textlink="">
      <xdr:nvSpPr>
        <xdr:cNvPr id="8" name="Oblaček: puščica dol 7">
          <a:extLst>
            <a:ext uri="{FF2B5EF4-FFF2-40B4-BE49-F238E27FC236}">
              <a16:creationId xmlns:a16="http://schemas.microsoft.com/office/drawing/2014/main" id="{5474BE4B-2586-9D53-AEBF-FF8E56B2E2A8}"/>
            </a:ext>
          </a:extLst>
        </xdr:cNvPr>
        <xdr:cNvSpPr/>
      </xdr:nvSpPr>
      <xdr:spPr>
        <a:xfrm>
          <a:off x="15230476" y="2771774"/>
          <a:ext cx="1276350" cy="1171575"/>
        </a:xfrm>
        <a:prstGeom prst="downArrowCallout">
          <a:avLst/>
        </a:prstGeom>
        <a:effectLst>
          <a:softEdge rad="3175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sl-SI" sz="1200">
            <a:latin typeface="Bradley Hand ITC" panose="03070402050302030203" pitchFamily="66" charset="0"/>
          </a:endParaRPr>
        </a:p>
        <a:p>
          <a:pPr algn="ctr"/>
          <a:r>
            <a:rPr lang="sl-SI" sz="1800">
              <a:latin typeface="Bradley Hand ITC" panose="03070402050302030203" pitchFamily="66" charset="0"/>
            </a:rPr>
            <a:t>going into </a:t>
          </a:r>
          <a:endParaRPr lang="en-SI" sz="1800">
            <a:latin typeface="Bradley Hand ITC" panose="03070402050302030203" pitchFamily="66"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371475</xdr:colOff>
      <xdr:row>3</xdr:row>
      <xdr:rowOff>85725</xdr:rowOff>
    </xdr:from>
    <xdr:to>
      <xdr:col>10</xdr:col>
      <xdr:colOff>533400</xdr:colOff>
      <xdr:row>5</xdr:row>
      <xdr:rowOff>19050</xdr:rowOff>
    </xdr:to>
    <xdr:sp macro="" textlink="">
      <xdr:nvSpPr>
        <xdr:cNvPr id="2" name="Puščica: desno 1">
          <a:extLst>
            <a:ext uri="{FF2B5EF4-FFF2-40B4-BE49-F238E27FC236}">
              <a16:creationId xmlns:a16="http://schemas.microsoft.com/office/drawing/2014/main" id="{F7402FA9-28C5-4D52-BC83-1DBC678DEAA2}"/>
            </a:ext>
          </a:extLst>
        </xdr:cNvPr>
        <xdr:cNvSpPr/>
      </xdr:nvSpPr>
      <xdr:spPr>
        <a:xfrm>
          <a:off x="6638925" y="666750"/>
          <a:ext cx="771525" cy="333375"/>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180975</xdr:colOff>
      <xdr:row>16</xdr:row>
      <xdr:rowOff>247650</xdr:rowOff>
    </xdr:from>
    <xdr:to>
      <xdr:col>18</xdr:col>
      <xdr:colOff>1076325</xdr:colOff>
      <xdr:row>19</xdr:row>
      <xdr:rowOff>19050</xdr:rowOff>
    </xdr:to>
    <xdr:sp macro="" textlink="">
      <xdr:nvSpPr>
        <xdr:cNvPr id="3" name="Znak za množenje 2">
          <a:extLst>
            <a:ext uri="{FF2B5EF4-FFF2-40B4-BE49-F238E27FC236}">
              <a16:creationId xmlns:a16="http://schemas.microsoft.com/office/drawing/2014/main" id="{EBC39FCB-6BCA-4B02-A642-8E3DF55A657C}"/>
            </a:ext>
          </a:extLst>
        </xdr:cNvPr>
        <xdr:cNvSpPr/>
      </xdr:nvSpPr>
      <xdr:spPr>
        <a:xfrm>
          <a:off x="12563475" y="4076700"/>
          <a:ext cx="895350" cy="742950"/>
        </a:xfrm>
        <a:prstGeom prst="mathMultiply">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114300</xdr:colOff>
      <xdr:row>9</xdr:row>
      <xdr:rowOff>266700</xdr:rowOff>
    </xdr:from>
    <xdr:to>
      <xdr:col>18</xdr:col>
      <xdr:colOff>1114425</xdr:colOff>
      <xdr:row>14</xdr:row>
      <xdr:rowOff>85725</xdr:rowOff>
    </xdr:to>
    <xdr:sp macro="" textlink="">
      <xdr:nvSpPr>
        <xdr:cNvPr id="4" name="Znak za minus 3">
          <a:extLst>
            <a:ext uri="{FF2B5EF4-FFF2-40B4-BE49-F238E27FC236}">
              <a16:creationId xmlns:a16="http://schemas.microsoft.com/office/drawing/2014/main" id="{FB1A2ED8-DFDB-4A28-B01A-2525834632DD}"/>
            </a:ext>
          </a:extLst>
        </xdr:cNvPr>
        <xdr:cNvSpPr/>
      </xdr:nvSpPr>
      <xdr:spPr>
        <a:xfrm>
          <a:off x="12496800" y="2143125"/>
          <a:ext cx="1000125" cy="1123950"/>
        </a:xfrm>
        <a:prstGeom prst="mathMinus">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SI" sz="1100" b="1">
            <a:solidFill>
              <a:sysClr val="windowText" lastClr="000000"/>
            </a:solidFill>
          </a:endParaRPr>
        </a:p>
      </xdr:txBody>
    </xdr:sp>
    <xdr:clientData/>
  </xdr:twoCellAnchor>
  <xdr:twoCellAnchor>
    <xdr:from>
      <xdr:col>4</xdr:col>
      <xdr:colOff>323850</xdr:colOff>
      <xdr:row>5</xdr:row>
      <xdr:rowOff>42866</xdr:rowOff>
    </xdr:from>
    <xdr:to>
      <xdr:col>4</xdr:col>
      <xdr:colOff>585788</xdr:colOff>
      <xdr:row>7</xdr:row>
      <xdr:rowOff>38104</xdr:rowOff>
    </xdr:to>
    <xdr:sp macro="" textlink="">
      <xdr:nvSpPr>
        <xdr:cNvPr id="5" name="Puščica: črtice desno 4">
          <a:extLst>
            <a:ext uri="{FF2B5EF4-FFF2-40B4-BE49-F238E27FC236}">
              <a16:creationId xmlns:a16="http://schemas.microsoft.com/office/drawing/2014/main" id="{8642C2B7-E8D8-4D07-9664-5DCD8B1910A5}"/>
            </a:ext>
          </a:extLst>
        </xdr:cNvPr>
        <xdr:cNvSpPr/>
      </xdr:nvSpPr>
      <xdr:spPr>
        <a:xfrm rot="5400000">
          <a:off x="2667000" y="1081091"/>
          <a:ext cx="376238" cy="261938"/>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SI" sz="1100"/>
        </a:p>
      </xdr:txBody>
    </xdr:sp>
    <xdr:clientData/>
  </xdr:twoCellAnchor>
  <xdr:twoCellAnchor>
    <xdr:from>
      <xdr:col>18</xdr:col>
      <xdr:colOff>285750</xdr:colOff>
      <xdr:row>14</xdr:row>
      <xdr:rowOff>57150</xdr:rowOff>
    </xdr:from>
    <xdr:to>
      <xdr:col>18</xdr:col>
      <xdr:colOff>923925</xdr:colOff>
      <xdr:row>16</xdr:row>
      <xdr:rowOff>66675</xdr:rowOff>
    </xdr:to>
    <xdr:sp macro="" textlink="">
      <xdr:nvSpPr>
        <xdr:cNvPr id="6" name="Krog: prazno 5">
          <a:extLst>
            <a:ext uri="{FF2B5EF4-FFF2-40B4-BE49-F238E27FC236}">
              <a16:creationId xmlns:a16="http://schemas.microsoft.com/office/drawing/2014/main" id="{762518C8-04F0-49A0-B0D0-0AD9030D6B42}"/>
            </a:ext>
          </a:extLst>
        </xdr:cNvPr>
        <xdr:cNvSpPr/>
      </xdr:nvSpPr>
      <xdr:spPr>
        <a:xfrm>
          <a:off x="12668250" y="3238500"/>
          <a:ext cx="638175" cy="657225"/>
        </a:xfrm>
        <a:prstGeom prst="donut">
          <a:avLst/>
        </a:prstGeom>
        <a:gradFill flip="none" rotWithShape="1">
          <a:gsLst>
            <a:gs pos="0">
              <a:srgbClr val="FF7979">
                <a:shade val="30000"/>
                <a:satMod val="115000"/>
              </a:srgbClr>
            </a:gs>
            <a:gs pos="50000">
              <a:srgbClr val="FF7979">
                <a:shade val="67500"/>
                <a:satMod val="115000"/>
              </a:srgbClr>
            </a:gs>
            <a:gs pos="100000">
              <a:srgbClr val="FF7979">
                <a:shade val="100000"/>
                <a:satMod val="115000"/>
              </a:srgb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I" sz="1100">
            <a:solidFill>
              <a:schemeClr val="tx1"/>
            </a:solidFill>
          </a:endParaRPr>
        </a:p>
      </xdr:txBody>
    </xdr:sp>
    <xdr:clientData/>
  </xdr:twoCellAnchor>
  <xdr:twoCellAnchor>
    <xdr:from>
      <xdr:col>30</xdr:col>
      <xdr:colOff>38100</xdr:colOff>
      <xdr:row>20</xdr:row>
      <xdr:rowOff>123825</xdr:rowOff>
    </xdr:from>
    <xdr:to>
      <xdr:col>30</xdr:col>
      <xdr:colOff>552450</xdr:colOff>
      <xdr:row>22</xdr:row>
      <xdr:rowOff>257175</xdr:rowOff>
    </xdr:to>
    <xdr:sp macro="" textlink="">
      <xdr:nvSpPr>
        <xdr:cNvPr id="7" name="Puščica: dol 6">
          <a:extLst>
            <a:ext uri="{FF2B5EF4-FFF2-40B4-BE49-F238E27FC236}">
              <a16:creationId xmlns:a16="http://schemas.microsoft.com/office/drawing/2014/main" id="{9D3FDD89-4E42-4465-9A67-43B66392C0E3}"/>
            </a:ext>
          </a:extLst>
        </xdr:cNvPr>
        <xdr:cNvSpPr/>
      </xdr:nvSpPr>
      <xdr:spPr>
        <a:xfrm>
          <a:off x="20393025" y="5124450"/>
          <a:ext cx="514350" cy="647700"/>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SI" sz="1100"/>
        </a:p>
      </xdr:txBody>
    </xdr:sp>
    <xdr:clientData/>
  </xdr:twoCellAnchor>
  <xdr:twoCellAnchor>
    <xdr:from>
      <xdr:col>21</xdr:col>
      <xdr:colOff>323851</xdr:colOff>
      <xdr:row>12</xdr:row>
      <xdr:rowOff>28574</xdr:rowOff>
    </xdr:from>
    <xdr:to>
      <xdr:col>22</xdr:col>
      <xdr:colOff>895351</xdr:colOff>
      <xdr:row>16</xdr:row>
      <xdr:rowOff>104774</xdr:rowOff>
    </xdr:to>
    <xdr:sp macro="" textlink="">
      <xdr:nvSpPr>
        <xdr:cNvPr id="8" name="Oblaček: puščica dol 7">
          <a:extLst>
            <a:ext uri="{FF2B5EF4-FFF2-40B4-BE49-F238E27FC236}">
              <a16:creationId xmlns:a16="http://schemas.microsoft.com/office/drawing/2014/main" id="{1D6CDB42-8C50-4536-BA37-A927F2027C46}"/>
            </a:ext>
          </a:extLst>
        </xdr:cNvPr>
        <xdr:cNvSpPr/>
      </xdr:nvSpPr>
      <xdr:spPr>
        <a:xfrm>
          <a:off x="15230476" y="2762249"/>
          <a:ext cx="1276350" cy="1171575"/>
        </a:xfrm>
        <a:prstGeom prst="downArrowCallout">
          <a:avLst/>
        </a:prstGeom>
        <a:effectLst>
          <a:softEdge rad="3175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sl-SI" sz="1200">
            <a:latin typeface="Bradley Hand ITC" panose="03070402050302030203" pitchFamily="66" charset="0"/>
          </a:endParaRPr>
        </a:p>
        <a:p>
          <a:pPr algn="ctr"/>
          <a:r>
            <a:rPr lang="sl-SI" sz="1800">
              <a:latin typeface="Bradley Hand ITC" panose="03070402050302030203" pitchFamily="66" charset="0"/>
            </a:rPr>
            <a:t>going into </a:t>
          </a:r>
          <a:endParaRPr lang="en-SI" sz="1800">
            <a:latin typeface="Bradley Hand ITC" panose="03070402050302030203" pitchFamily="66" charset="0"/>
          </a:endParaRPr>
        </a:p>
      </xdr:txBody>
    </xdr:sp>
    <xdr:clientData/>
  </xdr:twoCellAnchor>
  <xdr:twoCellAnchor>
    <xdr:from>
      <xdr:col>7</xdr:col>
      <xdr:colOff>504825</xdr:colOff>
      <xdr:row>25</xdr:row>
      <xdr:rowOff>257175</xdr:rowOff>
    </xdr:from>
    <xdr:to>
      <xdr:col>8</xdr:col>
      <xdr:colOff>819150</xdr:colOff>
      <xdr:row>29</xdr:row>
      <xdr:rowOff>133350</xdr:rowOff>
    </xdr:to>
    <xdr:sp macro="" textlink="">
      <xdr:nvSpPr>
        <xdr:cNvPr id="9" name="Puščica: škarnice 8">
          <a:extLst>
            <a:ext uri="{FF2B5EF4-FFF2-40B4-BE49-F238E27FC236}">
              <a16:creationId xmlns:a16="http://schemas.microsoft.com/office/drawing/2014/main" id="{1B4F65FE-BAB9-A91B-8D44-0E2C10809A61}"/>
            </a:ext>
          </a:extLst>
        </xdr:cNvPr>
        <xdr:cNvSpPr/>
      </xdr:nvSpPr>
      <xdr:spPr>
        <a:xfrm>
          <a:off x="5181600" y="6715125"/>
          <a:ext cx="1009650" cy="1133475"/>
        </a:xfrm>
        <a:prstGeom prst="chevron">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SI" sz="1100">
            <a:solidFill>
              <a:schemeClr val="tx1"/>
            </a:solidFill>
          </a:endParaRPr>
        </a:p>
      </xdr:txBody>
    </xdr:sp>
    <xdr:clientData/>
  </xdr:twoCellAnchor>
  <xdr:twoCellAnchor>
    <xdr:from>
      <xdr:col>15</xdr:col>
      <xdr:colOff>133350</xdr:colOff>
      <xdr:row>28</xdr:row>
      <xdr:rowOff>190500</xdr:rowOff>
    </xdr:from>
    <xdr:to>
      <xdr:col>15</xdr:col>
      <xdr:colOff>828675</xdr:colOff>
      <xdr:row>30</xdr:row>
      <xdr:rowOff>47625</xdr:rowOff>
    </xdr:to>
    <xdr:sp macro="" textlink="">
      <xdr:nvSpPr>
        <xdr:cNvPr id="10" name="Puščica: prisekano desno 9">
          <a:extLst>
            <a:ext uri="{FF2B5EF4-FFF2-40B4-BE49-F238E27FC236}">
              <a16:creationId xmlns:a16="http://schemas.microsoft.com/office/drawing/2014/main" id="{298EE2ED-A441-8C8E-CA60-56F8686AEE64}"/>
            </a:ext>
          </a:extLst>
        </xdr:cNvPr>
        <xdr:cNvSpPr/>
      </xdr:nvSpPr>
      <xdr:spPr>
        <a:xfrm>
          <a:off x="9867900" y="7591425"/>
          <a:ext cx="695325" cy="485775"/>
        </a:xfrm>
        <a:prstGeom prst="notchedRigh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SI" sz="1100"/>
        </a:p>
      </xdr:txBody>
    </xdr:sp>
    <xdr:clientData/>
  </xdr:twoCellAnchor>
  <xdr:twoCellAnchor>
    <xdr:from>
      <xdr:col>7</xdr:col>
      <xdr:colOff>504825</xdr:colOff>
      <xdr:row>72</xdr:row>
      <xdr:rowOff>257175</xdr:rowOff>
    </xdr:from>
    <xdr:to>
      <xdr:col>8</xdr:col>
      <xdr:colOff>819150</xdr:colOff>
      <xdr:row>76</xdr:row>
      <xdr:rowOff>133350</xdr:rowOff>
    </xdr:to>
    <xdr:sp macro="" textlink="">
      <xdr:nvSpPr>
        <xdr:cNvPr id="11" name="Puščica: škarnice 10">
          <a:extLst>
            <a:ext uri="{FF2B5EF4-FFF2-40B4-BE49-F238E27FC236}">
              <a16:creationId xmlns:a16="http://schemas.microsoft.com/office/drawing/2014/main" id="{8D512421-7A1F-4C1E-BD06-443E7A71E8EA}"/>
            </a:ext>
          </a:extLst>
        </xdr:cNvPr>
        <xdr:cNvSpPr/>
      </xdr:nvSpPr>
      <xdr:spPr>
        <a:xfrm>
          <a:off x="5181600" y="6715125"/>
          <a:ext cx="1009650" cy="1133475"/>
        </a:xfrm>
        <a:prstGeom prst="chevron">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SI" sz="1100">
            <a:solidFill>
              <a:schemeClr val="tx1"/>
            </a:solidFill>
          </a:endParaRPr>
        </a:p>
      </xdr:txBody>
    </xdr:sp>
    <xdr:clientData/>
  </xdr:twoCellAnchor>
  <xdr:twoCellAnchor>
    <xdr:from>
      <xdr:col>15</xdr:col>
      <xdr:colOff>133350</xdr:colOff>
      <xdr:row>75</xdr:row>
      <xdr:rowOff>190500</xdr:rowOff>
    </xdr:from>
    <xdr:to>
      <xdr:col>15</xdr:col>
      <xdr:colOff>828675</xdr:colOff>
      <xdr:row>77</xdr:row>
      <xdr:rowOff>47625</xdr:rowOff>
    </xdr:to>
    <xdr:sp macro="" textlink="">
      <xdr:nvSpPr>
        <xdr:cNvPr id="12" name="Puščica: prisekano desno 11">
          <a:extLst>
            <a:ext uri="{FF2B5EF4-FFF2-40B4-BE49-F238E27FC236}">
              <a16:creationId xmlns:a16="http://schemas.microsoft.com/office/drawing/2014/main" id="{D8156648-437E-46AA-8978-5009F2B9CA21}"/>
            </a:ext>
          </a:extLst>
        </xdr:cNvPr>
        <xdr:cNvSpPr/>
      </xdr:nvSpPr>
      <xdr:spPr>
        <a:xfrm>
          <a:off x="9867900" y="7591425"/>
          <a:ext cx="695325" cy="485775"/>
        </a:xfrm>
        <a:prstGeom prst="notchedRightArrow">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SI" sz="1100"/>
        </a:p>
      </xdr:txBody>
    </xdr:sp>
    <xdr:clientData/>
  </xdr:twoCellAnchor>
  <xdr:twoCellAnchor>
    <xdr:from>
      <xdr:col>28</xdr:col>
      <xdr:colOff>152401</xdr:colOff>
      <xdr:row>72</xdr:row>
      <xdr:rowOff>47624</xdr:rowOff>
    </xdr:from>
    <xdr:to>
      <xdr:col>29</xdr:col>
      <xdr:colOff>590551</xdr:colOff>
      <xdr:row>76</xdr:row>
      <xdr:rowOff>123824</xdr:rowOff>
    </xdr:to>
    <xdr:sp macro="" textlink="">
      <xdr:nvSpPr>
        <xdr:cNvPr id="13" name="Oblaček: puščica dol 12">
          <a:extLst>
            <a:ext uri="{FF2B5EF4-FFF2-40B4-BE49-F238E27FC236}">
              <a16:creationId xmlns:a16="http://schemas.microsoft.com/office/drawing/2014/main" id="{64949CA2-670E-483A-BB55-47344B1DE2C5}"/>
            </a:ext>
          </a:extLst>
        </xdr:cNvPr>
        <xdr:cNvSpPr/>
      </xdr:nvSpPr>
      <xdr:spPr>
        <a:xfrm>
          <a:off x="20621626" y="17945099"/>
          <a:ext cx="1200150" cy="1066800"/>
        </a:xfrm>
        <a:prstGeom prst="downArrowCallout">
          <a:avLst/>
        </a:prstGeom>
        <a:effectLst>
          <a:softEdge rad="3175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sl-SI" sz="1200">
            <a:latin typeface="Bradley Hand ITC" panose="03070402050302030203" pitchFamily="66" charset="0"/>
          </a:endParaRPr>
        </a:p>
        <a:p>
          <a:pPr algn="ctr"/>
          <a:r>
            <a:rPr lang="sl-SI" sz="1800">
              <a:latin typeface="Bradley Hand ITC" panose="03070402050302030203" pitchFamily="66" charset="0"/>
            </a:rPr>
            <a:t>going into </a:t>
          </a:r>
          <a:endParaRPr lang="en-SI" sz="1800">
            <a:latin typeface="Bradley Hand ITC" panose="03070402050302030203" pitchFamily="66"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CA74DA-233A-4D93-98A6-88ACDE155161}" name="WORDdoc" displayName="WORDdoc" ref="A1:E4" totalsRowShown="0" headerRowDxfId="34">
  <autoFilter ref="A1:E4" xr:uid="{3FCA74DA-233A-4D93-98A6-88ACDE155161}"/>
  <tableColumns count="5">
    <tableColumn id="1" xr3:uid="{6586A254-4A38-4BD0-B183-EBD2A03968E9}" name="PLANET" dataDxfId="33"/>
    <tableColumn id="2" xr3:uid="{080EF86C-7AFD-47E6-BC0A-C88334CBB800}" name="True Placement:" dataDxfId="32"/>
    <tableColumn id="3" xr3:uid="{1E1EBCF3-B94C-49C4-B85D-B58014D0894B}" name="Ruler" dataDxfId="31"/>
    <tableColumn id="4" xr3:uid="{EBB46676-30BA-40EC-B685-09FC5A9B75DD}" name="Sentence1" dataDxfId="30"/>
    <tableColumn id="5" xr3:uid="{B5FCA470-77FA-4C2E-8CF6-9C1A227E77F5}" name="Sentence2"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849C82-2D31-47B6-9380-FB70452CDC9E}" name="DD_degree" displayName="DD_degree" ref="A2:A32" totalsRowShown="0" headerRowDxfId="29" dataDxfId="28">
  <autoFilter ref="A2:A32" xr:uid="{81849C82-2D31-47B6-9380-FB70452CDC9E}"/>
  <tableColumns count="1">
    <tableColumn id="1" xr3:uid="{0478DEBC-C352-446D-A913-002D271F66C4}" name="Degree"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6D3393-6137-4E54-A4E1-4E1E3CCF266E}" name="DD_sign" displayName="DD_sign" ref="C2:C14" totalsRowShown="0" headerRowDxfId="26">
  <autoFilter ref="C2:C14" xr:uid="{FB6D3393-6137-4E54-A4E1-4E1E3CCF266E}"/>
  <tableColumns count="1">
    <tableColumn id="1" xr3:uid="{94470902-F979-4105-AD92-22630AB9E019}" name="SIG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45AA0B-F577-434A-B100-6C256CFCF87B}" name="DD_subject" displayName="DD_subject" ref="G2:G21" totalsRowShown="0" headerRowDxfId="25">
  <autoFilter ref="G2:G21" xr:uid="{AC45AA0B-F577-434A-B100-6C256CFCF87B}"/>
  <tableColumns count="1">
    <tableColumn id="1" xr3:uid="{B1C0EB27-8671-4FD3-BE1A-B9BCA0E78A64}" name="SUBJEC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31F60C-5243-427D-8463-17A336050A2C}" name="DD_TruePlacement1" displayName="DD_TruePlacement1" ref="N2:O13" totalsRowShown="0">
  <autoFilter ref="N2:O13" xr:uid="{7D31F60C-5243-427D-8463-17A336050A2C}"/>
  <tableColumns count="2">
    <tableColumn id="1" xr3:uid="{3AC0CA6C-D611-48F3-9EFF-536478001D9A}" name="TruePlacement 1"/>
    <tableColumn id="2" xr3:uid="{E607B97E-066A-4F3D-9A4A-7D507CD32BFD}" name="Rul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D03709-0EE0-4235-8DA6-60E733831685}" name="DD_risingsign" displayName="DD_risingsign" ref="E2:E14" totalsRowShown="0" headerRowDxfId="24">
  <autoFilter ref="E2:E14" xr:uid="{BED03709-0EE0-4235-8DA6-60E733831685}"/>
  <tableColumns count="1">
    <tableColumn id="1" xr3:uid="{8B1488E2-B404-4D69-8724-A3EAD1873BA7}" name="RISING SIG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868462-5E80-482F-B986-D57F56F77698}" name="DD_TruePlacement2" displayName="DD_TruePlacement2" ref="I2:I4" totalsRowShown="0">
  <autoFilter ref="I2:I4" xr:uid="{DA868462-5E80-482F-B986-D57F56F77698}"/>
  <tableColumns count="1">
    <tableColumn id="1" xr3:uid="{E54C6BF1-748E-4416-A006-348D706719B0}" name="TruePlacement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3E68C4-EC9A-4A16-BB69-4E8486F64530}" name="Ruler" displayName="Ruler" ref="K2:L14" totalsRowShown="0">
  <autoFilter ref="K2:L14" xr:uid="{AD3E68C4-EC9A-4A16-BB69-4E8486F64530}"/>
  <tableColumns count="2">
    <tableColumn id="1" xr3:uid="{39E0DC91-8B83-4CEC-9A65-12FAAD6D7D9E}" name="Sign"/>
    <tableColumn id="2" xr3:uid="{04EEBB43-5D86-47EF-8A86-6F2B51218565}" name="Rule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6C86DE-ED66-4B43-A283-5742DC44038B}" name="Tabela11" displayName="Tabela11" ref="O34:P36" totalsRowShown="0">
  <autoFilter ref="O34:P36" xr:uid="{F66C86DE-ED66-4B43-A283-5742DC44038B}"/>
  <tableColumns count="2">
    <tableColumn id="1" xr3:uid="{B8FC7D84-AB2B-4FB2-BA12-48104E7FB6AC}" name="Stolpec1"/>
    <tableColumn id="2" xr3:uid="{9C708F9E-DAA8-4BEF-8A12-B29FF557D821}" name="Stolpec2">
      <calculatedColumnFormula>Practice2!Z29</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F47D7F9-C968-4606-B658-92C44C43A4E9}" name="Tabela12" displayName="Tabela12" ref="O39:P41" totalsRowShown="0">
  <autoFilter ref="O39:P41" xr:uid="{5F47D7F9-C968-4606-B658-92C44C43A4E9}"/>
  <tableColumns count="2">
    <tableColumn id="1" xr3:uid="{D30D35D1-B155-4B40-834C-B4E3DBBDF0B9}" name="Stolpec1"/>
    <tableColumn id="2" xr3:uid="{0E67D2D7-5CFD-458F-B51B-3EF533AF28BB}" name="Stolpec2">
      <calculatedColumnFormula>Practice2!Z25</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F2980A-2616-40CB-B653-9C8690EB9B75}" name="Tabela13" displayName="Tabela13" ref="O43:P45" totalsRowShown="0">
  <autoFilter ref="O43:P45" xr:uid="{80F2980A-2616-40CB-B653-9C8690EB9B75}"/>
  <tableColumns count="2">
    <tableColumn id="1" xr3:uid="{3DE6312A-49AF-415F-B168-836DC47A0A72}" name="Sentence"/>
    <tableColumn id="2" xr3:uid="{EC2A4F0D-60F6-417E-BBAD-E9F85A8BF0C2}" name="Stolpec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8239477-E0E1-4494-9BF8-2E409D7C65DF}" name="Tabela15" displayName="Tabela15" ref="O51:P53" totalsRowShown="0">
  <autoFilter ref="O51:P53" xr:uid="{A8239477-E0E1-4494-9BF8-2E409D7C65DF}"/>
  <tableColumns count="2">
    <tableColumn id="1" xr3:uid="{E0ABA6D6-D2B4-4777-B025-CF3356CA33F6}" name="Stolpec1"/>
    <tableColumn id="2" xr3:uid="{2A65879E-6BC4-4034-B38C-1931A279FE47}" name="Stolpec2">
      <calculatedColumnFormula>Practice3!$AE$37</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CBC25DD-9CC9-451D-9BE4-7FD3EBB94549}" name="Tabela16" displayName="Tabela16" ref="O56:P58" totalsRowShown="0">
  <autoFilter ref="O56:P58" xr:uid="{DCBC25DD-9CC9-451D-9BE4-7FD3EBB94549}"/>
  <tableColumns count="2">
    <tableColumn id="1" xr3:uid="{EB970826-487F-4715-B2EE-344AA09573A2}" name="Stolpec1"/>
    <tableColumn id="2" xr3:uid="{8B5B9493-EB9A-49A3-8DEF-D310F021B064}" name="Stolpec2">
      <calculatedColumnFormula>Practice3!AE25</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6DFD573-E5CE-4C7A-A569-F41C2EEC5FA2}" name="Tabela17" displayName="Tabela17" ref="O61:P63" totalsRowShown="0">
  <autoFilter ref="O61:P63" xr:uid="{66DFD573-E5CE-4C7A-A569-F41C2EEC5FA2}"/>
  <tableColumns count="2">
    <tableColumn id="1" xr3:uid="{FD58B245-1EBF-461F-BCD9-C4777D842A39}" name="Stolpec1"/>
    <tableColumn id="2" xr3:uid="{B97AECF0-E67E-47F0-B257-0BC4C18DE48A}" name="Stolpec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716CB6-4166-4221-9205-66C447D65F07}" name="Tabela18" displayName="Tabela18" ref="O66:P68" totalsRowShown="0">
  <autoFilter ref="O66:P68" xr:uid="{72716CB6-4166-4221-9205-66C447D65F07}"/>
  <tableColumns count="2">
    <tableColumn id="1" xr3:uid="{800F1C32-8365-4D83-B46C-834C570407D1}" name="Stolpec1"/>
    <tableColumn id="2" xr3:uid="{03908842-8ABF-4BA6-A350-ED0741920BA5}" name="Stolpec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329933-6A74-4E33-9E51-76F468883558}" name="Degree_Spark_DataBase" displayName="Degree_Spark_DataBase" ref="B2:G362" totalsRowShown="0" headerRowDxfId="23" dataDxfId="22">
  <autoFilter ref="B2:G362" xr:uid="{E1329933-6A74-4E33-9E51-76F468883558}"/>
  <tableColumns count="6">
    <tableColumn id="1" xr3:uid="{E730A5E6-BBB1-4CEE-91C6-730CD5ED6B3C}" name="Degree" dataDxfId="21"/>
    <tableColumn id="2" xr3:uid="{C507EDBE-00B7-49AD-AC57-A23205BCC071}" name="Sign" dataDxfId="20"/>
    <tableColumn id="3" xr3:uid="{D44ECE48-F880-48DC-965D-F66D26CB180E}" name="Helper">
      <calculatedColumnFormula>B3&amp;"-"&amp;C3</calculatedColumnFormula>
    </tableColumn>
    <tableColumn id="4" xr3:uid="{15E23D11-AF79-4FD1-876A-084402414DB9}" name="Spark" dataDxfId="19"/>
    <tableColumn id="5" xr3:uid="{43F4014C-0AE4-45E7-86C1-8503C2104371}" name="Decan" dataDxfId="18"/>
    <tableColumn id="6" xr3:uid="{10F91CA6-A4D2-47A4-812B-AB6E4D74A61F}" name="Decan Planets" dataDxfId="1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A72469-5B7B-4BB1-ABD4-36424C1A82B0}" name="TruePlacement_DataBase1" displayName="TruePlacement_DataBase1" ref="A3:M1443" totalsRowShown="0" headerRowDxfId="16">
  <autoFilter ref="A3:M1443" xr:uid="{F7A72469-5B7B-4BB1-ABD4-36424C1A82B0}"/>
  <tableColumns count="13">
    <tableColumn id="1" xr3:uid="{CEC14358-712F-45FF-86E4-0B3114B2C307}" name="Planet"/>
    <tableColumn id="2" xr3:uid="{0AAAD666-6F78-4CE7-8DC8-2E27002F5D58}" name="Sign" dataDxfId="15"/>
    <tableColumn id="3" xr3:uid="{E326BA44-51E7-45BB-B0E0-FBBDDB341031}" name="Rising"/>
    <tableColumn id="4" xr3:uid="{278DB305-0906-4E1D-B0A7-A5E02F12D572}" name="Helper">
      <calculatedColumnFormula>A4&amp;"-"&amp;B4&amp;"-"&amp;C4</calculatedColumnFormula>
    </tableColumn>
    <tableColumn id="5" xr3:uid="{B52E0B22-77C0-4B0D-94C8-143D72CD3523}" name="IS house" dataDxfId="14"/>
    <tableColumn id="6" xr3:uid="{3350CD63-0952-477B-A48B-9EA786E7BF68}" name="IS sign" dataDxfId="13"/>
    <tableColumn id="7" xr3:uid="{2188F656-7E41-4B46-86BE-0EFB1F627C2D}" name="Sign2" dataDxfId="12"/>
    <tableColumn id="8" xr3:uid="{A8966759-8DD8-4EA0-BD27-DE11FD142DD9}" name="BASE house" dataDxfId="11"/>
    <tableColumn id="9" xr3:uid="{8E058DBD-F631-4AB0-88A5-829C1AF055D8}" name="BASE sign" dataDxfId="10"/>
    <tableColumn id="10" xr3:uid="{6FAAE750-0178-47CC-8D82-A12DBF1EF976}" name="Sign3"/>
    <tableColumn id="11" xr3:uid="{163FA9A3-E383-423C-8DD7-5F6A2CB6A2AB}" name="Sign4"/>
    <tableColumn id="12" xr3:uid="{5E063509-A0F8-4847-9B26-09D0B26DDB00}" name="Sign5"/>
    <tableColumn id="13" xr3:uid="{40E7E463-CDE2-4F0C-BA8B-6F1C6DAEBC80}" name="Sign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037820-22E8-43D3-AFC9-CA9F74BB22B4}" name="TruePlacement_DataBase2" displayName="TruePlacement_DataBase2" ref="A3:M291" totalsRowShown="0" headerRowDxfId="9">
  <autoFilter ref="A3:M291" xr:uid="{25037820-22E8-43D3-AFC9-CA9F74BB22B4}"/>
  <tableColumns count="13">
    <tableColumn id="1" xr3:uid="{A8CC0300-F1FE-44D1-AFFF-E84594DD12A8}" name="Planet"/>
    <tableColumn id="2" xr3:uid="{A0DFC407-6300-45F7-B579-79F7A17C2438}" name="House" dataDxfId="8"/>
    <tableColumn id="3" xr3:uid="{7D4CCF25-68DE-4A9B-B918-887FD5E29F67}" name="Rising"/>
    <tableColumn id="4" xr3:uid="{27DD5C29-D858-4979-B320-94157F19424D}" name="Helper">
      <calculatedColumnFormula>A4&amp;"-"&amp;B4&amp;"-"&amp;C4</calculatedColumnFormula>
    </tableColumn>
    <tableColumn id="5" xr3:uid="{759CD1A5-24B7-4591-AD0D-3B0826C3D83F}" name="IS house" dataDxfId="7"/>
    <tableColumn id="6" xr3:uid="{BC9CF31F-948A-4739-9FED-197A452E55DA}" name="IS sign" dataDxfId="6"/>
    <tableColumn id="7" xr3:uid="{456DEE34-DF5B-4901-AD35-6E699FCA6F38}" name="Sign" dataDxfId="5"/>
    <tableColumn id="8" xr3:uid="{8AE83080-C04C-4C6A-88D4-BF8F34A2326A}" name="BASE house" dataDxfId="4"/>
    <tableColumn id="9" xr3:uid="{A72F6CFA-36B5-45C2-89D3-22828672130A}" name="BASE sign" dataDxfId="3"/>
    <tableColumn id="10" xr3:uid="{4A05AA40-7718-4763-93EA-A1F43DF1D41F}" name="Sign2"/>
    <tableColumn id="11" xr3:uid="{80C99A6E-BACB-48D8-A3E5-6E4CC107CFCE}" name="BASE house3" dataDxfId="2"/>
    <tableColumn id="12" xr3:uid="{DB4B2F82-C385-43B8-9EFD-3824534D519C}" name="BASE sign4" dataDxfId="1"/>
    <tableColumn id="13" xr3:uid="{45E12A60-E0C7-4699-99FA-828DB4D008DB}" name="Sign5"/>
  </tableColumns>
  <tableStyleInfo name="TableStyleMedium2" showFirstColumn="0" showLastColumn="0" showRowStripes="1" showColumnStripes="0"/>
</table>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isar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8715-B78B-48D7-8ACE-A3DC9FBDA6FB}">
  <dimension ref="A1:AA47"/>
  <sheetViews>
    <sheetView showGridLines="0" workbookViewId="0">
      <selection activeCell="Q16" sqref="Q16"/>
    </sheetView>
  </sheetViews>
  <sheetFormatPr defaultRowHeight="15" x14ac:dyDescent="0.25"/>
  <cols>
    <col min="1" max="1" width="5" style="68" customWidth="1"/>
    <col min="2" max="2" width="4.28515625" customWidth="1"/>
    <col min="3" max="3" width="17" customWidth="1"/>
    <col min="4" max="4" width="6" customWidth="1"/>
    <col min="5" max="5" width="14.42578125" customWidth="1"/>
    <col min="6" max="6" width="6" customWidth="1"/>
    <col min="7" max="7" width="18.5703125" customWidth="1"/>
    <col min="8" max="8" width="3.85546875" customWidth="1"/>
    <col min="9" max="9" width="7" style="68" customWidth="1"/>
    <col min="10" max="10" width="9" style="68" customWidth="1"/>
    <col min="11" max="11" width="20.140625" customWidth="1"/>
    <col min="12" max="12" width="5.7109375" customWidth="1"/>
    <col min="13" max="13" width="14.85546875" customWidth="1"/>
    <col min="14" max="14" width="5.7109375" customWidth="1"/>
    <col min="15" max="15" width="17.85546875" customWidth="1"/>
    <col min="18" max="18" width="51.85546875" customWidth="1"/>
    <col min="20" max="20" width="26.85546875" customWidth="1"/>
  </cols>
  <sheetData>
    <row r="1" spans="1:27" s="68" customFormat="1" ht="15.75" thickBot="1" x14ac:dyDescent="0.3"/>
    <row r="2" spans="1:27" ht="15.75" thickTop="1" x14ac:dyDescent="0.25">
      <c r="B2" s="222" t="s">
        <v>87</v>
      </c>
      <c r="C2" s="223"/>
      <c r="D2" s="223"/>
      <c r="E2" s="223"/>
      <c r="F2" s="223"/>
      <c r="G2" s="223"/>
      <c r="H2" s="224"/>
      <c r="K2" s="68"/>
      <c r="L2" s="68"/>
      <c r="M2" s="68"/>
      <c r="N2" s="68"/>
      <c r="O2" s="68"/>
      <c r="P2" s="68"/>
      <c r="Q2" s="68"/>
      <c r="R2" s="68"/>
      <c r="S2" s="68"/>
      <c r="T2" s="68"/>
      <c r="U2" s="68"/>
      <c r="V2" s="68"/>
      <c r="W2" s="68"/>
      <c r="X2" s="68"/>
      <c r="Y2" s="68"/>
      <c r="Z2" s="68"/>
      <c r="AA2" s="68"/>
    </row>
    <row r="3" spans="1:27" ht="17.25" customHeight="1" x14ac:dyDescent="0.25">
      <c r="B3" s="225"/>
      <c r="C3" s="226"/>
      <c r="D3" s="226"/>
      <c r="E3" s="226"/>
      <c r="F3" s="226"/>
      <c r="G3" s="226"/>
      <c r="H3" s="227"/>
      <c r="K3" s="68"/>
      <c r="L3" s="68"/>
      <c r="M3" s="68"/>
      <c r="N3" s="68"/>
      <c r="O3" s="68"/>
      <c r="P3" s="68"/>
      <c r="Q3" s="68"/>
      <c r="R3" s="69"/>
      <c r="S3" s="68"/>
      <c r="T3" s="68"/>
      <c r="U3" s="68"/>
      <c r="V3" s="68"/>
      <c r="W3" s="68"/>
      <c r="X3" s="68"/>
      <c r="Y3" s="68"/>
      <c r="Z3" s="68"/>
      <c r="AA3" s="68"/>
    </row>
    <row r="4" spans="1:27" x14ac:dyDescent="0.25">
      <c r="B4" s="225"/>
      <c r="C4" s="226"/>
      <c r="D4" s="226"/>
      <c r="E4" s="226"/>
      <c r="F4" s="226"/>
      <c r="G4" s="226"/>
      <c r="H4" s="227"/>
      <c r="K4" s="68"/>
      <c r="L4" s="68"/>
      <c r="M4" s="68"/>
      <c r="N4" s="68"/>
      <c r="O4" s="68"/>
      <c r="P4" s="68"/>
      <c r="Q4" s="68"/>
      <c r="R4" s="68"/>
      <c r="S4" s="68"/>
      <c r="T4" s="68"/>
      <c r="U4" s="68"/>
      <c r="V4" s="68"/>
      <c r="W4" s="68"/>
      <c r="X4" s="68"/>
      <c r="Y4" s="68"/>
      <c r="Z4" s="68"/>
      <c r="AA4" s="68"/>
    </row>
    <row r="5" spans="1:27" ht="15.75" thickBot="1" x14ac:dyDescent="0.3">
      <c r="B5" s="228"/>
      <c r="C5" s="229"/>
      <c r="D5" s="229"/>
      <c r="E5" s="229"/>
      <c r="F5" s="229"/>
      <c r="G5" s="229"/>
      <c r="H5" s="230"/>
      <c r="K5" s="68"/>
      <c r="L5" s="68"/>
      <c r="M5" s="68"/>
      <c r="N5" s="68"/>
      <c r="O5" s="68"/>
      <c r="P5" s="68"/>
      <c r="Q5" s="68"/>
      <c r="R5" s="68"/>
      <c r="S5" s="68"/>
      <c r="T5" s="68"/>
      <c r="U5" s="68"/>
      <c r="V5" s="68"/>
      <c r="W5" s="68"/>
      <c r="X5" s="68"/>
      <c r="Y5" s="68"/>
      <c r="Z5" s="68"/>
      <c r="AA5" s="68"/>
    </row>
    <row r="6" spans="1:27" ht="23.25" customHeight="1" thickTop="1" x14ac:dyDescent="0.25">
      <c r="B6" s="68"/>
      <c r="C6" s="68"/>
      <c r="D6" s="68"/>
      <c r="E6" s="68"/>
      <c r="F6" s="68"/>
      <c r="G6" s="68"/>
      <c r="H6" s="68"/>
      <c r="K6" s="68"/>
      <c r="L6" s="68"/>
      <c r="M6" s="68"/>
      <c r="N6" s="68"/>
      <c r="O6" s="68"/>
      <c r="P6" s="68"/>
      <c r="Q6" s="68"/>
      <c r="R6" s="7" t="str">
        <f>IFERROR(C9&amp;" at "&amp;E9&amp;" in "&amp;G9&amp;" - "&amp;K9&amp;" spark "&amp;" in "&amp;M9&amp;" decan ", "")</f>
        <v xml:space="preserve"> at  in  -  spark  in  decan </v>
      </c>
      <c r="S6" s="68"/>
      <c r="T6" s="68"/>
      <c r="U6" s="68"/>
    </row>
    <row r="7" spans="1:27" ht="27.75" customHeight="1" x14ac:dyDescent="0.25">
      <c r="B7" s="68"/>
      <c r="C7" s="68"/>
      <c r="D7" s="68"/>
      <c r="E7" s="68"/>
      <c r="F7" s="68"/>
      <c r="G7" s="68"/>
      <c r="H7" s="68"/>
      <c r="K7" s="68"/>
      <c r="L7" s="68"/>
      <c r="M7" s="68"/>
      <c r="N7" s="68"/>
      <c r="O7" s="68"/>
      <c r="P7" s="68"/>
      <c r="Q7" s="68"/>
      <c r="R7" s="8" t="str">
        <f>C12&amp;" at "&amp;E12&amp;" in "&amp;G12&amp;" - "&amp;K12&amp;" spark "&amp;" in "&amp;M12&amp;" decan "</f>
        <v xml:space="preserve"> at  in  - Not Found spark  in Not Found decan </v>
      </c>
      <c r="S7" s="68"/>
      <c r="T7" s="68"/>
      <c r="U7" s="68"/>
    </row>
    <row r="8" spans="1:27" s="5" customFormat="1" ht="28.5" customHeight="1" x14ac:dyDescent="0.3">
      <c r="A8" s="69"/>
      <c r="B8" s="69"/>
      <c r="C8" s="71" t="s">
        <v>65</v>
      </c>
      <c r="D8" s="68"/>
      <c r="E8" s="71" t="s">
        <v>88</v>
      </c>
      <c r="F8" s="72"/>
      <c r="G8" s="71" t="s">
        <v>60</v>
      </c>
      <c r="H8" s="69"/>
      <c r="I8" s="69"/>
      <c r="J8" s="69"/>
      <c r="K8" s="70" t="s">
        <v>63</v>
      </c>
      <c r="L8" s="70"/>
      <c r="M8" s="70" t="s">
        <v>64</v>
      </c>
      <c r="N8" s="70"/>
      <c r="O8" s="70" t="s">
        <v>5</v>
      </c>
      <c r="P8" s="69"/>
      <c r="Q8" s="69"/>
      <c r="R8" s="9" t="str">
        <f>C15&amp;" at "&amp;E15&amp;" in "&amp;G15&amp;" - "&amp;K15&amp;" spark "&amp;" in "&amp;M15&amp;" decan "</f>
        <v xml:space="preserve"> at  in  - Not Found spark  in Not Found decan </v>
      </c>
      <c r="S8" s="69"/>
      <c r="T8" s="69"/>
      <c r="U8" s="69"/>
    </row>
    <row r="9" spans="1:27" ht="33.75" customHeight="1" x14ac:dyDescent="0.25">
      <c r="B9" s="68"/>
      <c r="C9" s="73"/>
      <c r="D9" s="68"/>
      <c r="E9" s="73"/>
      <c r="F9" s="70"/>
      <c r="G9" s="73"/>
      <c r="H9" s="68"/>
      <c r="K9" s="6" t="str">
        <f>IFERROR(VLOOKUP(E9&amp;"-"&amp;G9, Degree_Spark_DataBase[[Helper]:[Decan Planets]], 2, 0),"")</f>
        <v/>
      </c>
      <c r="L9" s="70"/>
      <c r="M9" s="6" t="str">
        <f>IFERROR(VLOOKUP(E9&amp;"-"&amp;G9, Degree_Spark_DataBase[[Helper]:[Decan Planets]], 3, 0),"")</f>
        <v/>
      </c>
      <c r="N9" s="70"/>
      <c r="O9" s="6" t="str">
        <f>IFERROR(VLOOKUP(E9&amp;"-"&amp;G9, Degree_Spark_DataBase[[Helper]:[Decan Planets]], 4, 0),"")</f>
        <v/>
      </c>
      <c r="P9" s="68"/>
      <c r="Q9" s="68"/>
      <c r="R9" s="68"/>
      <c r="S9" s="68"/>
      <c r="T9" s="68"/>
      <c r="U9" s="68"/>
    </row>
    <row r="10" spans="1:27" s="68" customFormat="1" x14ac:dyDescent="0.25"/>
    <row r="11" spans="1:27" s="68" customFormat="1" ht="25.5" customHeight="1" x14ac:dyDescent="0.25">
      <c r="C11" s="70" t="s">
        <v>65</v>
      </c>
      <c r="D11" s="69"/>
      <c r="E11" s="70" t="s">
        <v>61</v>
      </c>
      <c r="F11" s="70"/>
      <c r="G11" s="70" t="s">
        <v>62</v>
      </c>
      <c r="H11" s="69"/>
      <c r="I11" s="69"/>
      <c r="J11" s="69"/>
      <c r="K11" s="70" t="s">
        <v>63</v>
      </c>
      <c r="L11" s="70"/>
      <c r="M11" s="70" t="s">
        <v>64</v>
      </c>
      <c r="N11" s="70"/>
      <c r="O11" s="70" t="s">
        <v>5</v>
      </c>
    </row>
    <row r="12" spans="1:27" ht="33.75" customHeight="1" x14ac:dyDescent="0.25">
      <c r="B12" s="68"/>
      <c r="C12" s="73"/>
      <c r="D12" s="68"/>
      <c r="E12" s="73"/>
      <c r="F12" s="70"/>
      <c r="G12" s="73"/>
      <c r="H12" s="68"/>
      <c r="K12" s="6" t="str">
        <f>IFERROR(VLOOKUP(E12&amp;"-"&amp;G12, Degree_Spark_DataBase[[Helper]:[Decan Planets]], 2, 0),"Not Found")</f>
        <v>Not Found</v>
      </c>
      <c r="L12" s="70"/>
      <c r="M12" s="6" t="str">
        <f>IFERROR(VLOOKUP(E12&amp;"-"&amp;G12, Degree_Spark_DataBase[[Helper]:[Decan Planets]], 3, 0),"Not Found")</f>
        <v>Not Found</v>
      </c>
      <c r="N12" s="70"/>
      <c r="O12" s="6" t="str">
        <f>IFERROR(VLOOKUP(E12&amp;"-"&amp;G12, Degree_Spark_DataBase[[Helper]:[Decan Planets]], 4, 0),"Not Found")</f>
        <v>Not Found</v>
      </c>
      <c r="P12" s="68"/>
      <c r="Q12" s="68"/>
      <c r="R12" s="68"/>
      <c r="S12" s="68"/>
      <c r="T12" s="68"/>
      <c r="U12" s="68"/>
    </row>
    <row r="13" spans="1:27" s="68" customFormat="1" x14ac:dyDescent="0.25"/>
    <row r="14" spans="1:27" s="68" customFormat="1" ht="24.75" customHeight="1" x14ac:dyDescent="0.25">
      <c r="C14" s="70" t="s">
        <v>65</v>
      </c>
      <c r="D14" s="69"/>
      <c r="E14" s="70" t="s">
        <v>61</v>
      </c>
      <c r="F14" s="70"/>
      <c r="G14" s="70" t="s">
        <v>62</v>
      </c>
      <c r="H14" s="69"/>
      <c r="I14" s="69"/>
      <c r="J14" s="69"/>
      <c r="K14" s="70" t="s">
        <v>63</v>
      </c>
      <c r="L14" s="70"/>
      <c r="M14" s="70" t="s">
        <v>64</v>
      </c>
      <c r="N14" s="70"/>
      <c r="O14" s="70" t="s">
        <v>5</v>
      </c>
    </row>
    <row r="15" spans="1:27" ht="33.75" customHeight="1" x14ac:dyDescent="0.25">
      <c r="B15" s="68"/>
      <c r="C15" s="73"/>
      <c r="D15" s="68"/>
      <c r="E15" s="73"/>
      <c r="F15" s="70"/>
      <c r="G15" s="73"/>
      <c r="H15" s="68"/>
      <c r="K15" s="6" t="str">
        <f>IFERROR(VLOOKUP(E15&amp;"-"&amp;G15, Degree_Spark_DataBase[[Helper]:[Decan Planets]], 2, 0),"Not Found")</f>
        <v>Not Found</v>
      </c>
      <c r="L15" s="70"/>
      <c r="M15" s="6" t="str">
        <f>IFERROR(VLOOKUP(E15&amp;"-"&amp;G15, Degree_Spark_DataBase[[Helper]:[Decan Planets]], 3, 0),"Not Found")</f>
        <v>Not Found</v>
      </c>
      <c r="N15" s="70"/>
      <c r="O15" s="6" t="str">
        <f>IFERROR(VLOOKUP(E15&amp;"-"&amp;G15, Degree_Spark_DataBase[[Helper]:[Decan Planets]], 4, 0),"Not Found")</f>
        <v>Not Found</v>
      </c>
      <c r="P15" s="68"/>
      <c r="Q15" s="68"/>
      <c r="R15" s="68"/>
      <c r="S15" s="68"/>
      <c r="T15" s="68"/>
      <c r="U15" s="68"/>
    </row>
    <row r="16" spans="1:27" x14ac:dyDescent="0.25">
      <c r="B16" s="68"/>
      <c r="C16" s="68"/>
      <c r="D16" s="68"/>
      <c r="E16" s="68"/>
      <c r="F16" s="68"/>
      <c r="G16" s="68"/>
      <c r="H16" s="68"/>
      <c r="K16" s="68"/>
      <c r="L16" s="68"/>
      <c r="M16" s="68"/>
      <c r="N16" s="68"/>
      <c r="O16" s="68"/>
      <c r="P16" s="68"/>
      <c r="Q16" s="68"/>
      <c r="R16" s="68"/>
      <c r="S16" s="68"/>
      <c r="T16" s="68"/>
      <c r="U16" s="68"/>
      <c r="V16" s="68"/>
      <c r="W16" s="68"/>
      <c r="X16" s="68"/>
      <c r="Y16" s="68"/>
      <c r="Z16" s="68"/>
      <c r="AA16" s="68"/>
    </row>
    <row r="17" spans="2:27" x14ac:dyDescent="0.25">
      <c r="B17" s="68"/>
      <c r="C17" s="68"/>
      <c r="D17" s="68"/>
      <c r="E17" s="68"/>
      <c r="F17" s="68"/>
      <c r="G17" s="68"/>
      <c r="H17" s="68"/>
      <c r="K17" s="68"/>
      <c r="L17" s="68"/>
      <c r="M17" s="68"/>
      <c r="N17" s="68"/>
      <c r="O17" s="68"/>
      <c r="P17" s="68"/>
      <c r="Q17" s="68"/>
      <c r="R17" s="68"/>
      <c r="S17" s="68"/>
      <c r="T17" s="68"/>
      <c r="U17" s="68"/>
      <c r="V17" s="68"/>
      <c r="W17" s="68"/>
      <c r="X17" s="68"/>
      <c r="Y17" s="68"/>
      <c r="Z17" s="68"/>
      <c r="AA17" s="68"/>
    </row>
    <row r="18" spans="2:27" x14ac:dyDescent="0.25">
      <c r="B18" s="68"/>
      <c r="C18" s="68"/>
      <c r="D18" s="68"/>
      <c r="E18" s="68"/>
      <c r="F18" s="68"/>
      <c r="G18" s="68"/>
      <c r="H18" s="68"/>
      <c r="K18" s="68"/>
      <c r="L18" s="68"/>
      <c r="M18" s="68"/>
      <c r="N18" s="68"/>
      <c r="O18" s="68"/>
      <c r="P18" s="68"/>
      <c r="Q18" s="68"/>
      <c r="R18" s="68"/>
      <c r="S18" s="68"/>
      <c r="T18" s="68"/>
      <c r="U18" s="68"/>
      <c r="V18" s="68"/>
      <c r="W18" s="68"/>
      <c r="X18" s="68"/>
      <c r="Y18" s="68"/>
      <c r="Z18" s="68"/>
      <c r="AA18" s="68"/>
    </row>
    <row r="19" spans="2:27" x14ac:dyDescent="0.25">
      <c r="B19" s="68"/>
      <c r="C19" s="68"/>
      <c r="D19" s="68"/>
      <c r="E19" s="68"/>
      <c r="F19" s="68"/>
      <c r="G19" s="68"/>
      <c r="H19" s="68"/>
      <c r="K19" s="68"/>
      <c r="L19" s="68"/>
      <c r="M19" s="68"/>
      <c r="N19" s="68"/>
      <c r="O19" s="68"/>
      <c r="P19" s="68"/>
      <c r="Q19" s="68"/>
      <c r="R19" s="68"/>
      <c r="S19" s="68"/>
      <c r="T19" s="68"/>
      <c r="U19" s="68"/>
      <c r="V19" s="68"/>
      <c r="W19" s="68"/>
      <c r="X19" s="68"/>
      <c r="Y19" s="68"/>
      <c r="Z19" s="68"/>
      <c r="AA19" s="68"/>
    </row>
    <row r="20" spans="2:27" x14ac:dyDescent="0.25">
      <c r="B20" s="68"/>
      <c r="C20" s="68"/>
      <c r="D20" s="68"/>
      <c r="E20" s="68"/>
      <c r="F20" s="68"/>
      <c r="G20" s="68"/>
      <c r="H20" s="68"/>
      <c r="K20" s="68"/>
      <c r="L20" s="68"/>
      <c r="M20" s="68"/>
      <c r="N20" s="68"/>
      <c r="O20" s="68"/>
      <c r="P20" s="68"/>
      <c r="Q20" s="68"/>
      <c r="R20" s="68"/>
      <c r="S20" s="68"/>
      <c r="T20" s="68"/>
      <c r="U20" s="68"/>
      <c r="V20" s="68"/>
      <c r="W20" s="68"/>
      <c r="X20" s="68"/>
      <c r="Y20" s="68"/>
      <c r="Z20" s="68"/>
      <c r="AA20" s="68"/>
    </row>
    <row r="21" spans="2:27" x14ac:dyDescent="0.25">
      <c r="B21" s="68"/>
      <c r="C21" s="68"/>
      <c r="D21" s="68"/>
      <c r="E21" s="68"/>
      <c r="F21" s="68"/>
      <c r="G21" s="68"/>
      <c r="H21" s="68"/>
      <c r="K21" s="68"/>
      <c r="L21" s="68"/>
      <c r="M21" s="68"/>
      <c r="N21" s="68"/>
      <c r="O21" s="68"/>
      <c r="P21" s="68"/>
      <c r="Q21" s="68"/>
      <c r="R21" s="68"/>
      <c r="S21" s="68"/>
      <c r="T21" s="68"/>
      <c r="U21" s="68"/>
      <c r="V21" s="68"/>
      <c r="W21" s="68"/>
      <c r="X21" s="68"/>
      <c r="Y21" s="68"/>
      <c r="Z21" s="68"/>
      <c r="AA21" s="68"/>
    </row>
    <row r="22" spans="2:27" x14ac:dyDescent="0.25">
      <c r="B22" s="68"/>
      <c r="C22" s="68"/>
      <c r="D22" s="68"/>
      <c r="E22" s="68"/>
      <c r="F22" s="68"/>
      <c r="G22" s="68"/>
      <c r="H22" s="68"/>
      <c r="K22" s="68"/>
      <c r="L22" s="68"/>
      <c r="M22" s="68"/>
      <c r="N22" s="68"/>
      <c r="O22" s="68"/>
      <c r="P22" s="68"/>
      <c r="Q22" s="68"/>
      <c r="R22" s="68"/>
      <c r="S22" s="68"/>
      <c r="T22" s="68"/>
      <c r="U22" s="68"/>
      <c r="V22" s="68"/>
      <c r="W22" s="68"/>
      <c r="X22" s="68"/>
      <c r="Y22" s="68"/>
      <c r="Z22" s="68"/>
      <c r="AA22" s="68"/>
    </row>
    <row r="23" spans="2:27" x14ac:dyDescent="0.25">
      <c r="B23" s="68"/>
      <c r="C23" s="68"/>
      <c r="D23" s="68"/>
      <c r="E23" s="68"/>
      <c r="F23" s="68"/>
      <c r="G23" s="68"/>
      <c r="H23" s="68"/>
      <c r="K23" s="68"/>
      <c r="L23" s="68"/>
      <c r="M23" s="68"/>
      <c r="N23" s="68"/>
      <c r="O23" s="68"/>
      <c r="P23" s="68"/>
      <c r="Q23" s="68"/>
      <c r="R23" s="68"/>
      <c r="S23" s="68"/>
      <c r="T23" s="68"/>
      <c r="U23" s="68"/>
      <c r="V23" s="68"/>
      <c r="W23" s="68"/>
      <c r="X23" s="68"/>
      <c r="Y23" s="68"/>
      <c r="Z23" s="68"/>
      <c r="AA23" s="68"/>
    </row>
    <row r="24" spans="2:27" x14ac:dyDescent="0.25">
      <c r="B24" s="68"/>
      <c r="C24" s="68"/>
      <c r="D24" s="68"/>
      <c r="E24" s="68"/>
      <c r="F24" s="68"/>
      <c r="G24" s="68"/>
      <c r="H24" s="68"/>
      <c r="K24" s="68"/>
      <c r="L24" s="68"/>
      <c r="M24" s="68"/>
      <c r="N24" s="68"/>
      <c r="O24" s="68"/>
      <c r="P24" s="68"/>
      <c r="Q24" s="68"/>
      <c r="R24" s="68"/>
      <c r="S24" s="68"/>
      <c r="T24" s="68"/>
      <c r="U24" s="68"/>
      <c r="V24" s="68"/>
      <c r="W24" s="68"/>
      <c r="X24" s="68"/>
      <c r="Y24" s="68"/>
      <c r="Z24" s="68"/>
      <c r="AA24" s="68"/>
    </row>
    <row r="25" spans="2:27" x14ac:dyDescent="0.25">
      <c r="B25" s="68"/>
      <c r="C25" s="68"/>
      <c r="D25" s="68"/>
      <c r="E25" s="68"/>
      <c r="F25" s="68"/>
      <c r="G25" s="68"/>
      <c r="H25" s="68"/>
      <c r="K25" s="68"/>
      <c r="L25" s="68"/>
      <c r="M25" s="68"/>
      <c r="N25" s="68"/>
      <c r="O25" s="68"/>
      <c r="P25" s="68"/>
      <c r="Q25" s="68"/>
      <c r="R25" s="68"/>
      <c r="S25" s="68"/>
      <c r="T25" s="68"/>
      <c r="U25" s="68"/>
      <c r="V25" s="68"/>
      <c r="W25" s="68"/>
      <c r="X25" s="68"/>
      <c r="Y25" s="68"/>
      <c r="Z25" s="68"/>
      <c r="AA25" s="68"/>
    </row>
    <row r="26" spans="2:27" x14ac:dyDescent="0.25">
      <c r="B26" s="68"/>
      <c r="C26" s="68"/>
      <c r="D26" s="68"/>
      <c r="E26" s="68"/>
      <c r="F26" s="68"/>
      <c r="G26" s="68"/>
      <c r="H26" s="68"/>
      <c r="K26" s="68"/>
      <c r="L26" s="68"/>
      <c r="M26" s="68"/>
      <c r="N26" s="68"/>
      <c r="O26" s="68"/>
      <c r="P26" s="68"/>
      <c r="Q26" s="68"/>
      <c r="R26" s="68"/>
      <c r="S26" s="68"/>
      <c r="T26" s="68"/>
      <c r="U26" s="68"/>
      <c r="V26" s="68"/>
      <c r="W26" s="68"/>
      <c r="X26" s="68"/>
      <c r="Y26" s="68"/>
      <c r="Z26" s="68"/>
      <c r="AA26" s="68"/>
    </row>
    <row r="27" spans="2:27" s="68" customFormat="1" x14ac:dyDescent="0.25"/>
    <row r="28" spans="2:27" s="68" customFormat="1" x14ac:dyDescent="0.25"/>
    <row r="29" spans="2:27" s="68" customFormat="1" x14ac:dyDescent="0.25"/>
    <row r="30" spans="2:27" s="68" customFormat="1" x14ac:dyDescent="0.25"/>
    <row r="31" spans="2:27" s="68" customFormat="1" x14ac:dyDescent="0.25"/>
    <row r="32" spans="2:27" s="68" customFormat="1" x14ac:dyDescent="0.25"/>
    <row r="33" s="68" customFormat="1" x14ac:dyDescent="0.25"/>
    <row r="34" s="68" customFormat="1" x14ac:dyDescent="0.25"/>
    <row r="35" s="68" customFormat="1" x14ac:dyDescent="0.25"/>
    <row r="36" s="68" customFormat="1" x14ac:dyDescent="0.25"/>
    <row r="37" s="68" customFormat="1" x14ac:dyDescent="0.25"/>
    <row r="38" s="68" customFormat="1" x14ac:dyDescent="0.25"/>
    <row r="39" s="68" customFormat="1" x14ac:dyDescent="0.25"/>
    <row r="40" s="68" customFormat="1" x14ac:dyDescent="0.25"/>
    <row r="41" s="68" customFormat="1" x14ac:dyDescent="0.25"/>
    <row r="42" s="68" customFormat="1" x14ac:dyDescent="0.25"/>
    <row r="43" s="68" customFormat="1" x14ac:dyDescent="0.25"/>
    <row r="44" s="68" customFormat="1" x14ac:dyDescent="0.25"/>
    <row r="45" s="68" customFormat="1" x14ac:dyDescent="0.25"/>
    <row r="46" s="68" customFormat="1" x14ac:dyDescent="0.25"/>
    <row r="47" s="68" customFormat="1" x14ac:dyDescent="0.25"/>
  </sheetData>
  <sheetProtection algorithmName="SHA-512" hashValue="H/66SG0XGZRjri415ZwtLZw6UUfqq+Dh2eVFx4Dk9KiKV3OWJNrIw1u9DK+zXKdmNeAE2gtaEDRBZZWVnZo/Zg==" saltValue="g7/ovg0BRTPqM62YdfnZ8Q==" spinCount="100000" sheet="1" objects="1" scenarios="1"/>
  <mergeCells count="1">
    <mergeCell ref="B2:H5"/>
  </mergeCells>
  <dataValidations count="3">
    <dataValidation type="list" allowBlank="1" showInputMessage="1" showErrorMessage="1" sqref="E9 E12 E15" xr:uid="{C1DCD59F-C9E7-4A7C-9939-E9258340D3D4}">
      <formula1>DD_degree_dd</formula1>
    </dataValidation>
    <dataValidation type="list" allowBlank="1" showInputMessage="1" showErrorMessage="1" sqref="G9 G12 G15" xr:uid="{EC7A730F-20DE-47ED-8C57-1DC185667EEB}">
      <formula1>DD_sign_dd</formula1>
    </dataValidation>
    <dataValidation type="list" allowBlank="1" showInputMessage="1" showErrorMessage="1" sqref="C9 C12 C15" xr:uid="{6FA195C9-86BA-4D72-BF7D-FC50990C2D81}">
      <formula1>DD_subject_dd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EBCA-CA00-4D9F-BC4A-DB7693CF4CDC}">
  <dimension ref="A1:AK42"/>
  <sheetViews>
    <sheetView showGridLines="0" workbookViewId="0">
      <selection activeCell="R12" sqref="R12"/>
    </sheetView>
  </sheetViews>
  <sheetFormatPr defaultRowHeight="15" x14ac:dyDescent="0.25"/>
  <cols>
    <col min="1" max="1" width="2.42578125" style="23" customWidth="1"/>
    <col min="2" max="2" width="7.7109375" customWidth="1"/>
    <col min="3" max="3" width="17.28515625" customWidth="1"/>
    <col min="4" max="4" width="5.85546875" customWidth="1"/>
    <col min="5" max="5" width="8" customWidth="1"/>
    <col min="6" max="6" width="15.7109375" customWidth="1"/>
    <col min="7" max="7" width="11.5703125" customWidth="1"/>
    <col min="8" max="8" width="12.85546875" customWidth="1"/>
    <col min="9" max="9" width="4" customWidth="1"/>
    <col min="10" max="10" width="8.5703125" customWidth="1"/>
    <col min="11" max="11" width="5.85546875" customWidth="1"/>
    <col min="12" max="12" width="21.85546875" style="19" customWidth="1"/>
    <col min="13" max="13" width="12" customWidth="1"/>
    <col min="14" max="14" width="16.5703125" customWidth="1"/>
    <col min="15" max="15" width="6.5703125" customWidth="1"/>
    <col min="16" max="16" width="5.28515625" customWidth="1"/>
    <col min="17" max="17" width="20.140625" customWidth="1"/>
    <col min="18" max="18" width="11.140625" customWidth="1"/>
    <col min="19" max="19" width="5.7109375" customWidth="1"/>
    <col min="20" max="20" width="6" customWidth="1"/>
    <col min="21" max="21" width="13.28515625" customWidth="1"/>
    <col min="22" max="22" width="20.7109375" customWidth="1"/>
    <col min="23" max="23" width="18.85546875" customWidth="1"/>
    <col min="24" max="24" width="10.28515625" customWidth="1"/>
  </cols>
  <sheetData>
    <row r="1" spans="2:37" s="23" customFormat="1" x14ac:dyDescent="0.25">
      <c r="L1" s="24"/>
    </row>
    <row r="2" spans="2:37" ht="48" customHeight="1" x14ac:dyDescent="0.25">
      <c r="B2" s="232" t="s">
        <v>132</v>
      </c>
      <c r="C2" s="232"/>
      <c r="D2" s="232"/>
      <c r="E2" s="232"/>
      <c r="F2" s="232"/>
      <c r="G2" s="232"/>
      <c r="H2" s="23"/>
      <c r="I2" s="23"/>
      <c r="J2" s="23"/>
      <c r="K2" s="23"/>
      <c r="L2" s="24"/>
      <c r="M2" s="23"/>
      <c r="N2" s="23"/>
      <c r="O2" s="23"/>
      <c r="P2" s="23"/>
      <c r="Q2" s="23"/>
      <c r="R2" s="23"/>
      <c r="S2" s="23"/>
      <c r="T2" s="23"/>
      <c r="U2" s="23"/>
      <c r="V2" s="23"/>
      <c r="W2" s="23"/>
      <c r="X2" s="23"/>
      <c r="Y2" s="23"/>
      <c r="Z2" s="23"/>
      <c r="AA2" s="23"/>
      <c r="AB2" s="23"/>
      <c r="AC2" s="23"/>
      <c r="AD2" s="23"/>
      <c r="AE2" s="23"/>
      <c r="AF2" s="23"/>
      <c r="AG2" s="23"/>
      <c r="AH2" s="23"/>
      <c r="AI2" s="23"/>
      <c r="AJ2" s="23"/>
      <c r="AK2" s="23"/>
    </row>
    <row r="3" spans="2:37" s="23" customFormat="1" x14ac:dyDescent="0.25">
      <c r="L3" s="24"/>
    </row>
    <row r="4" spans="2:37" s="23" customFormat="1" x14ac:dyDescent="0.25">
      <c r="I4" s="93"/>
      <c r="L4" s="24"/>
    </row>
    <row r="5" spans="2:37" s="23" customFormat="1" x14ac:dyDescent="0.25">
      <c r="C5" s="23" t="s">
        <v>134</v>
      </c>
      <c r="F5" s="23" t="s">
        <v>135</v>
      </c>
      <c r="L5" s="24"/>
    </row>
    <row r="6" spans="2:37" ht="24" customHeight="1" x14ac:dyDescent="0.25">
      <c r="B6" s="31" t="s">
        <v>145</v>
      </c>
      <c r="C6" s="67" t="s">
        <v>24</v>
      </c>
      <c r="D6" s="23"/>
      <c r="E6" s="31" t="s">
        <v>145</v>
      </c>
      <c r="F6" s="67" t="s">
        <v>127</v>
      </c>
      <c r="G6" s="23"/>
      <c r="H6" s="23"/>
      <c r="I6" s="23"/>
      <c r="J6" s="23"/>
      <c r="K6" s="23"/>
      <c r="L6" s="24"/>
      <c r="M6" s="23"/>
      <c r="N6" s="23"/>
      <c r="O6" s="23"/>
      <c r="P6" s="23"/>
      <c r="Q6" s="23"/>
      <c r="R6" s="23"/>
      <c r="S6" s="23"/>
      <c r="T6" s="23"/>
      <c r="U6" s="23"/>
      <c r="V6" s="23"/>
      <c r="W6" s="23"/>
      <c r="X6" s="23"/>
      <c r="Y6" s="23"/>
      <c r="Z6" s="23"/>
      <c r="AA6" s="23"/>
      <c r="AB6" s="23"/>
      <c r="AC6" s="23"/>
      <c r="AD6" s="23"/>
      <c r="AE6" s="23"/>
      <c r="AF6" s="23"/>
      <c r="AG6" s="23"/>
      <c r="AH6" s="23"/>
      <c r="AI6" s="23"/>
      <c r="AJ6" s="23"/>
      <c r="AK6" s="23"/>
    </row>
    <row r="7" spans="2:37" ht="24" customHeight="1" x14ac:dyDescent="0.25">
      <c r="B7" s="31" t="s">
        <v>146</v>
      </c>
      <c r="C7" s="67" t="s">
        <v>27</v>
      </c>
      <c r="D7" s="23"/>
      <c r="E7" s="31" t="s">
        <v>146</v>
      </c>
      <c r="F7" s="67" t="s">
        <v>23</v>
      </c>
      <c r="G7" s="23"/>
      <c r="H7" s="23"/>
      <c r="I7" s="23"/>
      <c r="J7" s="23"/>
      <c r="K7" s="23"/>
      <c r="L7" s="24"/>
      <c r="M7" s="23"/>
      <c r="N7" s="23"/>
      <c r="O7" s="23"/>
      <c r="P7" s="23"/>
      <c r="Q7" s="23"/>
      <c r="R7" s="23"/>
      <c r="S7" s="23"/>
      <c r="T7" s="23"/>
      <c r="U7" s="23"/>
      <c r="V7" s="23"/>
      <c r="W7" s="23"/>
      <c r="X7" s="23"/>
      <c r="Y7" s="23"/>
      <c r="Z7" s="23"/>
      <c r="AA7" s="23"/>
      <c r="AB7" s="23"/>
      <c r="AC7" s="23"/>
      <c r="AD7" s="23"/>
      <c r="AE7" s="23"/>
      <c r="AF7" s="23"/>
      <c r="AG7" s="23"/>
      <c r="AH7" s="23"/>
      <c r="AI7" s="23"/>
      <c r="AJ7" s="23"/>
      <c r="AK7" s="23"/>
    </row>
    <row r="8" spans="2:37" ht="24" customHeight="1" x14ac:dyDescent="0.25">
      <c r="B8" s="31" t="s">
        <v>147</v>
      </c>
      <c r="C8" s="67" t="s">
        <v>23</v>
      </c>
      <c r="D8" s="23"/>
      <c r="E8" s="31" t="s">
        <v>147</v>
      </c>
      <c r="F8" s="67" t="s">
        <v>23</v>
      </c>
      <c r="G8" s="23"/>
      <c r="H8" s="23"/>
      <c r="I8" s="23"/>
      <c r="J8" s="23"/>
      <c r="K8" s="23"/>
      <c r="L8" s="24"/>
      <c r="M8" s="23"/>
      <c r="N8" s="23"/>
      <c r="O8" s="23"/>
      <c r="P8" s="23"/>
      <c r="Q8" s="23"/>
      <c r="R8" s="23"/>
      <c r="S8" s="23"/>
      <c r="T8" s="23"/>
      <c r="U8" s="23"/>
      <c r="V8" s="23"/>
      <c r="W8" s="23"/>
      <c r="X8" s="23"/>
      <c r="Y8" s="23"/>
      <c r="Z8" s="23"/>
      <c r="AA8" s="23"/>
      <c r="AB8" s="23"/>
      <c r="AC8" s="23"/>
      <c r="AD8" s="23"/>
      <c r="AE8" s="23"/>
      <c r="AF8" s="23"/>
      <c r="AG8" s="23"/>
      <c r="AH8" s="23"/>
      <c r="AI8" s="23"/>
      <c r="AJ8" s="23"/>
      <c r="AK8" s="23"/>
    </row>
    <row r="9" spans="2:37" s="23" customFormat="1" x14ac:dyDescent="0.25">
      <c r="L9" s="24"/>
    </row>
    <row r="10" spans="2:37" s="23" customFormat="1" x14ac:dyDescent="0.25">
      <c r="L10" s="24"/>
    </row>
    <row r="11" spans="2:37" s="23" customFormat="1" ht="20.25" customHeight="1" thickBot="1" x14ac:dyDescent="0.3">
      <c r="F11" s="231" t="s">
        <v>136</v>
      </c>
      <c r="G11" s="231"/>
      <c r="H11" s="231"/>
      <c r="I11" s="38"/>
      <c r="J11" s="231" t="s">
        <v>139</v>
      </c>
      <c r="K11" s="231"/>
      <c r="L11" s="26"/>
      <c r="M11" s="25" t="s">
        <v>138</v>
      </c>
      <c r="N11" s="25"/>
      <c r="O11" s="231" t="s">
        <v>139</v>
      </c>
      <c r="P11" s="231"/>
      <c r="R11" s="25" t="s">
        <v>138</v>
      </c>
    </row>
    <row r="12" spans="2:37" ht="29.25" customHeight="1" thickBot="1" x14ac:dyDescent="0.3">
      <c r="B12" s="23"/>
      <c r="C12" s="27" t="str">
        <f>C6</f>
        <v>JUPITER</v>
      </c>
      <c r="D12" s="23"/>
      <c r="E12" s="27">
        <v>1</v>
      </c>
      <c r="F12" s="233" t="str">
        <f>C6&amp;" in "&amp;C7&amp;" ("&amp;C8&amp;" rising)"</f>
        <v>JUPITER in Aquarius (Sagittarius rising)</v>
      </c>
      <c r="G12" s="234"/>
      <c r="H12" s="235"/>
      <c r="I12" s="32" t="s">
        <v>137</v>
      </c>
      <c r="J12" s="33" t="str">
        <f>IFERROR(VLOOKUP(C6&amp;"-"&amp;C7&amp;"-"&amp;C8, TruePlacement_DataBase1[[Helper]:[Sign3]], 3,FALSE), "")</f>
        <v>Gemini</v>
      </c>
      <c r="K12" s="34" t="str">
        <f>IFERROR("("&amp;VLOOKUP(C6&amp;"-"&amp;C7&amp;"-"&amp;C8, TruePlacement_DataBase1[[Helper]:[Sign3]], 2,FALSE)&amp;")", "")</f>
        <v>(3rd)</v>
      </c>
      <c r="L12" s="32" t="s">
        <v>90</v>
      </c>
      <c r="M12" s="33" t="str">
        <f>IFERROR(VLOOKUP(C6&amp;"-"&amp;C7&amp;"-"&amp;C8, TruePlacement_DataBase1[[Helper]:[Sign3]], 4,FALSE),"")</f>
        <v>Aquarius</v>
      </c>
      <c r="N12" s="32" t="s">
        <v>140</v>
      </c>
      <c r="O12" s="33" t="str">
        <f>IFERROR(VLOOKUP(C6&amp;"-"&amp;C7&amp;"-"&amp;C8, TruePlacement_DataBase1[[Helper]:[Sign3]], 5,FALSE), "")</f>
        <v>1st</v>
      </c>
      <c r="P12" s="35" t="str">
        <f>IFERROR(VLOOKUP(C6&amp;"-"&amp;C7&amp;"-"&amp;C8, TruePlacement_DataBase1[[Helper]:[Sign3]], 6,FALSE), "")</f>
        <v>Aries</v>
      </c>
      <c r="Q12" s="36" t="s">
        <v>90</v>
      </c>
      <c r="R12" s="37" t="str">
        <f>IFERROR(VLOOKUP(C6&amp;"-"&amp;C7&amp;"-"&amp;C8, TruePlacement_DataBase1[[Helper]:[Sign3]], 7,FALSE), "")</f>
        <v>Sagittarius</v>
      </c>
      <c r="S12" s="23"/>
      <c r="T12" s="23"/>
      <c r="U12" s="23"/>
      <c r="V12" s="23"/>
      <c r="W12" s="23"/>
      <c r="X12" s="23"/>
      <c r="Y12" s="23"/>
      <c r="Z12" s="23"/>
      <c r="AA12" s="23"/>
      <c r="AB12" s="23"/>
      <c r="AC12" s="23"/>
      <c r="AD12" s="23"/>
      <c r="AE12" s="23"/>
      <c r="AF12" s="23"/>
      <c r="AG12" s="23"/>
      <c r="AH12" s="23"/>
      <c r="AI12" s="23"/>
      <c r="AJ12" s="23"/>
      <c r="AK12" s="23"/>
    </row>
    <row r="13" spans="2:37" s="23" customFormat="1" x14ac:dyDescent="0.25">
      <c r="J13" s="27"/>
      <c r="K13" s="28"/>
      <c r="M13" s="29"/>
      <c r="P13" s="30"/>
      <c r="R13" s="29"/>
    </row>
    <row r="14" spans="2:37" s="23" customFormat="1" ht="15.75" thickBot="1" x14ac:dyDescent="0.3">
      <c r="J14" s="27"/>
      <c r="K14" s="28"/>
      <c r="M14" s="29"/>
      <c r="P14" s="30"/>
      <c r="R14" s="29"/>
    </row>
    <row r="15" spans="2:37" ht="30" customHeight="1" thickBot="1" x14ac:dyDescent="0.3">
      <c r="B15" s="23"/>
      <c r="C15" s="27" t="str">
        <f>F6</f>
        <v>VENUS</v>
      </c>
      <c r="D15" s="23"/>
      <c r="E15" s="27">
        <v>2</v>
      </c>
      <c r="F15" s="233" t="str">
        <f>F6&amp;" in "&amp;F7&amp;" ("&amp;F8&amp;" rising)"</f>
        <v>VENUS in Sagittarius (Sagittarius rising)</v>
      </c>
      <c r="G15" s="234"/>
      <c r="H15" s="236"/>
      <c r="I15" s="32" t="s">
        <v>137</v>
      </c>
      <c r="J15" s="33" t="str">
        <f>IFERROR(VLOOKUP(F6&amp;"-"&amp;F7&amp;"-"&amp;F8, TruePlacement_DataBase2[[Helper]:[Sign5]], 3,0), "")</f>
        <v>Aries</v>
      </c>
      <c r="K15" s="34" t="str">
        <f>IFERROR("("&amp;VLOOKUP(F6&amp;"-"&amp;F7&amp;"-"&amp;F8, TruePlacement_DataBase2[[Helper]:[Sign5]], 2,0)&amp;")", "")</f>
        <v>(1st)</v>
      </c>
      <c r="L15" s="32" t="s">
        <v>90</v>
      </c>
      <c r="M15" s="33" t="str">
        <f>IFERROR(VLOOKUP(F6&amp;"-"&amp;F7&amp;"-"&amp;F8, TruePlacement_DataBase2[[Helper]:[Sign5]], 4,0), "")</f>
        <v>Sagittarius</v>
      </c>
      <c r="N15" s="32" t="s">
        <v>140</v>
      </c>
      <c r="O15" s="33" t="str">
        <f>IFERROR(VLOOKUP(F6&amp;"-"&amp;F7&amp;"-"&amp;F8, TruePlacement_DataBase2[[Helper]:[Sign5]], 5,0), "")</f>
        <v>6th</v>
      </c>
      <c r="P15" s="66" t="str">
        <f>IFERROR(VLOOKUP(F6&amp;"-"&amp;F7&amp;"-"&amp;F8, TruePlacement_DataBase2[[Helper]:[Sign5]], 6,0), "")</f>
        <v>Virgo</v>
      </c>
      <c r="Q15" s="36" t="s">
        <v>90</v>
      </c>
      <c r="R15" s="33" t="str">
        <f>IFERROR(VLOOKUP(F6&amp;"-"&amp;F7&amp;"-"&amp;F8, TruePlacement_DataBase2[[Helper]:[Sign5]], 7,0), "")</f>
        <v>Taurus</v>
      </c>
      <c r="S15" s="32" t="s">
        <v>141</v>
      </c>
      <c r="T15" s="33" t="str">
        <f>IFERROR(VLOOKUP(F6&amp;"-"&amp;F7&amp;"-"&amp;F8, TruePlacement_DataBase2[[Helper]:[Sign5]], 8,0), "")</f>
        <v>11th</v>
      </c>
      <c r="U15" s="33" t="str">
        <f>IFERROR(VLOOKUP(F6&amp;"-"&amp;F7&amp;"-"&amp;F8, TruePlacement_DataBase2[[Helper]:[Sign5]], 9,0), "")</f>
        <v>Aquarius</v>
      </c>
      <c r="V15" s="32" t="s">
        <v>90</v>
      </c>
      <c r="W15" s="37" t="str">
        <f>IFERROR(VLOOKUP(F6&amp;"-"&amp;F7&amp;"-"&amp;F8, TruePlacement_DataBase2[[Helper]:[Sign5]], 10,0), "")</f>
        <v>Libra</v>
      </c>
      <c r="X15" s="23"/>
      <c r="Y15" s="23"/>
      <c r="Z15" s="23"/>
      <c r="AA15" s="23"/>
      <c r="AB15" s="23"/>
      <c r="AC15" s="23"/>
      <c r="AD15" s="23"/>
      <c r="AE15" s="23"/>
      <c r="AF15" s="23"/>
      <c r="AG15" s="23"/>
      <c r="AH15" s="23"/>
      <c r="AI15" s="23"/>
      <c r="AJ15" s="23"/>
      <c r="AK15" s="23"/>
    </row>
    <row r="16" spans="2:37" s="23" customFormat="1" x14ac:dyDescent="0.25">
      <c r="L16" s="24"/>
    </row>
    <row r="17" spans="12:12" s="23" customFormat="1" x14ac:dyDescent="0.25">
      <c r="L17" s="24"/>
    </row>
    <row r="18" spans="12:12" s="23" customFormat="1" x14ac:dyDescent="0.25">
      <c r="L18" s="24"/>
    </row>
    <row r="19" spans="12:12" s="23" customFormat="1" x14ac:dyDescent="0.25">
      <c r="L19" s="24"/>
    </row>
    <row r="20" spans="12:12" s="23" customFormat="1" x14ac:dyDescent="0.25">
      <c r="L20" s="24"/>
    </row>
    <row r="21" spans="12:12" s="23" customFormat="1" x14ac:dyDescent="0.25">
      <c r="L21" s="24"/>
    </row>
    <row r="22" spans="12:12" s="23" customFormat="1" x14ac:dyDescent="0.25">
      <c r="L22" s="24"/>
    </row>
    <row r="23" spans="12:12" s="23" customFormat="1" x14ac:dyDescent="0.25">
      <c r="L23" s="24"/>
    </row>
    <row r="24" spans="12:12" s="23" customFormat="1" x14ac:dyDescent="0.25">
      <c r="L24" s="24"/>
    </row>
    <row r="25" spans="12:12" s="23" customFormat="1" x14ac:dyDescent="0.25">
      <c r="L25" s="24"/>
    </row>
    <row r="26" spans="12:12" s="23" customFormat="1" x14ac:dyDescent="0.25">
      <c r="L26" s="24"/>
    </row>
    <row r="27" spans="12:12" s="23" customFormat="1" x14ac:dyDescent="0.25">
      <c r="L27" s="24"/>
    </row>
    <row r="28" spans="12:12" s="23" customFormat="1" x14ac:dyDescent="0.25">
      <c r="L28" s="24"/>
    </row>
    <row r="29" spans="12:12" s="23" customFormat="1" x14ac:dyDescent="0.25">
      <c r="L29" s="24"/>
    </row>
    <row r="30" spans="12:12" s="23" customFormat="1" x14ac:dyDescent="0.25">
      <c r="L30" s="24"/>
    </row>
    <row r="31" spans="12:12" s="23" customFormat="1" x14ac:dyDescent="0.25">
      <c r="L31" s="24"/>
    </row>
    <row r="32" spans="12:12" s="23" customFormat="1" x14ac:dyDescent="0.25">
      <c r="L32" s="24"/>
    </row>
    <row r="33" spans="12:12" s="23" customFormat="1" x14ac:dyDescent="0.25">
      <c r="L33" s="24"/>
    </row>
    <row r="34" spans="12:12" s="23" customFormat="1" x14ac:dyDescent="0.25">
      <c r="L34" s="24"/>
    </row>
    <row r="35" spans="12:12" s="23" customFormat="1" x14ac:dyDescent="0.25">
      <c r="L35" s="24"/>
    </row>
    <row r="36" spans="12:12" s="23" customFormat="1" x14ac:dyDescent="0.25">
      <c r="L36" s="24"/>
    </row>
    <row r="37" spans="12:12" s="23" customFormat="1" x14ac:dyDescent="0.25">
      <c r="L37" s="24"/>
    </row>
    <row r="38" spans="12:12" s="23" customFormat="1" x14ac:dyDescent="0.25">
      <c r="L38" s="24"/>
    </row>
    <row r="39" spans="12:12" s="23" customFormat="1" x14ac:dyDescent="0.25">
      <c r="L39" s="24"/>
    </row>
    <row r="40" spans="12:12" s="23" customFormat="1" x14ac:dyDescent="0.25">
      <c r="L40" s="24"/>
    </row>
    <row r="41" spans="12:12" s="23" customFormat="1" x14ac:dyDescent="0.25">
      <c r="L41" s="24"/>
    </row>
    <row r="42" spans="12:12" s="23" customFormat="1" x14ac:dyDescent="0.25">
      <c r="L42" s="24"/>
    </row>
  </sheetData>
  <mergeCells count="6">
    <mergeCell ref="O11:P11"/>
    <mergeCell ref="B2:G2"/>
    <mergeCell ref="F11:H11"/>
    <mergeCell ref="F12:H12"/>
    <mergeCell ref="F15:H15"/>
    <mergeCell ref="J11:K11"/>
  </mergeCells>
  <dataValidations count="4">
    <dataValidation type="list" allowBlank="1" showInputMessage="1" showErrorMessage="1" sqref="C6" xr:uid="{38DC0FA3-5A2B-4638-AE84-F9C816DDD413}">
      <formula1>DD_TruePlacement1_ddown</formula1>
    </dataValidation>
    <dataValidation type="list" allowBlank="1" showInputMessage="1" showErrorMessage="1" sqref="C7 F7" xr:uid="{05678BD8-0A92-4A58-9A81-C667C30C0014}">
      <formula1>DD_sign_dd</formula1>
    </dataValidation>
    <dataValidation type="list" allowBlank="1" showInputMessage="1" showErrorMessage="1" sqref="C8 F8" xr:uid="{575B15B0-B205-4785-8CB3-782058F2317E}">
      <formula1>DD_risingsign_ddown</formula1>
    </dataValidation>
    <dataValidation type="list" allowBlank="1" showInputMessage="1" showErrorMessage="1" sqref="F6" xr:uid="{AED358CA-48EB-4042-B553-A37405D863E6}">
      <formula1>DD_TruePlacement2_ddown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5829-606F-4D0A-A7E0-02120F6CE245}">
  <dimension ref="A1:BD80"/>
  <sheetViews>
    <sheetView topLeftCell="B1" workbookViewId="0">
      <selection activeCell="H19" sqref="H19"/>
    </sheetView>
  </sheetViews>
  <sheetFormatPr defaultRowHeight="15" x14ac:dyDescent="0.25"/>
  <cols>
    <col min="1" max="1" width="2.5703125" customWidth="1"/>
    <col min="2" max="2" width="10.85546875" customWidth="1"/>
    <col min="3" max="3" width="12.5703125" customWidth="1"/>
    <col min="4" max="4" width="10" customWidth="1"/>
    <col min="5" max="5" width="13.42578125" customWidth="1"/>
    <col min="6" max="6" width="10.28515625" customWidth="1"/>
    <col min="7" max="8" width="10.42578125" customWidth="1"/>
    <col min="9" max="9" width="13.42578125" customWidth="1"/>
    <col min="10" max="10" width="9.140625" customWidth="1"/>
    <col min="11" max="11" width="13.140625" customWidth="1"/>
    <col min="12" max="12" width="10.42578125" customWidth="1"/>
    <col min="13" max="13" width="4.42578125" customWidth="1"/>
    <col min="14" max="14" width="11" customWidth="1"/>
    <col min="15" max="15" width="4.85546875" customWidth="1"/>
    <col min="16" max="16" width="15" customWidth="1"/>
    <col min="17" max="17" width="5.42578125" customWidth="1"/>
    <col min="18" max="18" width="18.28515625" customWidth="1"/>
    <col min="19" max="19" width="18.42578125" customWidth="1"/>
    <col min="20" max="20" width="11.140625" customWidth="1"/>
    <col min="21" max="21" width="8.28515625" customWidth="1"/>
    <col min="22" max="22" width="10.5703125" customWidth="1"/>
    <col min="23" max="23" width="16.28515625" customWidth="1"/>
    <col min="25" max="25" width="11.42578125" customWidth="1"/>
    <col min="26" max="26" width="10" customWidth="1"/>
    <col min="27" max="27" width="13.28515625" customWidth="1"/>
    <col min="28" max="28" width="23.28515625" customWidth="1"/>
  </cols>
  <sheetData>
    <row r="1" spans="1:51" s="94" customFormat="1" x14ac:dyDescent="0.25">
      <c r="K1" s="101"/>
      <c r="L1" s="101"/>
      <c r="M1" s="101"/>
      <c r="N1" s="101"/>
      <c r="O1" s="101"/>
      <c r="P1" s="101"/>
      <c r="Q1" s="101"/>
      <c r="R1" s="101"/>
      <c r="S1" s="101"/>
      <c r="T1" s="101"/>
      <c r="U1" s="101"/>
      <c r="V1" s="101"/>
      <c r="W1" s="101"/>
      <c r="X1" s="101"/>
      <c r="Y1" s="95"/>
    </row>
    <row r="2" spans="1:51" s="94" customFormat="1" ht="15.75" thickBot="1" x14ac:dyDescent="0.3">
      <c r="K2" s="101"/>
      <c r="L2" s="102" t="s">
        <v>30</v>
      </c>
      <c r="M2" s="103" t="s">
        <v>137</v>
      </c>
      <c r="N2" s="165" t="s">
        <v>23</v>
      </c>
      <c r="O2" s="166" t="s">
        <v>703</v>
      </c>
      <c r="P2" s="165" t="s">
        <v>709</v>
      </c>
      <c r="Q2" s="166" t="s">
        <v>703</v>
      </c>
      <c r="R2" s="165" t="s">
        <v>705</v>
      </c>
      <c r="S2" s="165" t="s">
        <v>90</v>
      </c>
      <c r="T2" s="167" t="s">
        <v>23</v>
      </c>
      <c r="U2" s="166" t="s">
        <v>701</v>
      </c>
      <c r="V2" s="165" t="s">
        <v>23</v>
      </c>
      <c r="W2" s="165" t="s">
        <v>706</v>
      </c>
      <c r="X2" s="166" t="s">
        <v>702</v>
      </c>
      <c r="Y2" s="95"/>
      <c r="AE2" s="128"/>
      <c r="AI2" s="128" t="s">
        <v>712</v>
      </c>
      <c r="AV2" s="148">
        <v>1</v>
      </c>
      <c r="AW2" s="148">
        <v>2</v>
      </c>
    </row>
    <row r="3" spans="1:51" s="94" customFormat="1" ht="15.75" customHeight="1" thickBot="1" x14ac:dyDescent="0.35">
      <c r="K3" s="101"/>
      <c r="L3" s="105" t="s">
        <v>133</v>
      </c>
      <c r="M3" s="106"/>
      <c r="N3" s="168" t="s">
        <v>153</v>
      </c>
      <c r="O3" s="169"/>
      <c r="P3" s="168" t="s">
        <v>63</v>
      </c>
      <c r="Q3" s="168"/>
      <c r="R3" s="168" t="s">
        <v>704</v>
      </c>
      <c r="S3" s="169"/>
      <c r="T3" s="168" t="s">
        <v>60</v>
      </c>
      <c r="U3" s="169"/>
      <c r="V3" s="168" t="s">
        <v>153</v>
      </c>
      <c r="W3" s="168"/>
      <c r="X3" s="169"/>
      <c r="Y3" s="95"/>
      <c r="AH3" s="151">
        <v>1</v>
      </c>
      <c r="AI3" s="147"/>
      <c r="AJ3" s="32" t="s">
        <v>137</v>
      </c>
      <c r="AK3" s="33" t="str">
        <f>IFERROR("("&amp;VLOOKUP(C5&amp;"-"&amp;E5&amp;"-"&amp;I5, TruePlacement_DataBase1[[Helper]:[Sign3]], 2,FALSE)&amp;")", "")</f>
        <v>(1st)</v>
      </c>
      <c r="AL3" s="33" t="str">
        <f>IFERROR(VLOOKUP(C5&amp;"-"&amp;E5&amp;"-"&amp;I5, TruePlacement_DataBase1[[Helper]:[Sign3]], 3,FALSE), "")</f>
        <v>Aries</v>
      </c>
      <c r="AM3" s="32" t="s">
        <v>710</v>
      </c>
      <c r="AN3" s="33" t="str">
        <f>IFERROR(VLOOKUP(C5&amp;"-"&amp;E5&amp;"-"&amp;I5, TruePlacement_DataBase1[[Helper]:[Sign3]], 4,FALSE), "")</f>
        <v>Sagittarius</v>
      </c>
      <c r="AO3" s="32" t="s">
        <v>140</v>
      </c>
      <c r="AP3" s="33" t="str">
        <f>IFERROR(VLOOKUP(C5&amp;"-"&amp;E5&amp;"-"&amp;I5, TruePlacement_DataBase1[[Helper]:[Sign3]], 5,FALSE), "")</f>
        <v>9th</v>
      </c>
      <c r="AQ3" s="35" t="str">
        <f>IFERROR(VLOOKUP(C5&amp;"-"&amp;E5&amp;"-"&amp;I5, TruePlacement_DataBase1[[Helper]:[Sign3]], 6,FALSE), "")</f>
        <v>Sagittarius</v>
      </c>
      <c r="AR3" s="36" t="s">
        <v>90</v>
      </c>
      <c r="AS3" s="37" t="str">
        <f>IFERROR(VLOOKUP(C5&amp;"-"&amp;E5&amp;"-"&amp;I5, TruePlacement_DataBase1[[Helper]:[Sign3]], 7,FALSE), "")</f>
        <v>Leo</v>
      </c>
      <c r="AV3" s="291" t="s">
        <v>97</v>
      </c>
      <c r="AW3" s="291"/>
    </row>
    <row r="4" spans="1:51" s="94" customFormat="1" ht="8.25" customHeight="1" thickBot="1" x14ac:dyDescent="0.3">
      <c r="K4" s="101"/>
      <c r="N4" s="164"/>
      <c r="O4" s="164"/>
      <c r="P4" s="164"/>
      <c r="Q4" s="164"/>
      <c r="R4" s="164"/>
      <c r="S4" s="164"/>
      <c r="T4" s="164"/>
      <c r="U4" s="164"/>
      <c r="V4" s="164"/>
      <c r="W4" s="164"/>
      <c r="X4" s="164"/>
      <c r="Y4" s="95"/>
    </row>
    <row r="5" spans="1:51" s="74" customFormat="1" ht="23.25" customHeight="1" thickBot="1" x14ac:dyDescent="0.3">
      <c r="A5" s="97"/>
      <c r="B5" s="98" t="s">
        <v>698</v>
      </c>
      <c r="C5" s="184" t="s">
        <v>17</v>
      </c>
      <c r="D5" s="98" t="s">
        <v>697</v>
      </c>
      <c r="E5" s="184" t="s">
        <v>23</v>
      </c>
      <c r="F5" s="98" t="s">
        <v>699</v>
      </c>
      <c r="G5" s="184" t="s">
        <v>50</v>
      </c>
      <c r="H5" s="98" t="s">
        <v>700</v>
      </c>
      <c r="I5" s="184" t="s">
        <v>23</v>
      </c>
      <c r="J5" s="97"/>
      <c r="K5" s="97"/>
      <c r="L5" s="123" t="str">
        <f>C5</f>
        <v>SUN</v>
      </c>
      <c r="M5" s="124" t="s">
        <v>137</v>
      </c>
      <c r="N5" s="125" t="str">
        <f>IFERROR(VLOOKUP(C5&amp;"-"&amp;E5&amp;"-"&amp;I5, TruePlacement_DataBase1[[#All],[Helper]:[Sign6]], 3, 0), "")</f>
        <v>Aries</v>
      </c>
      <c r="O5" s="124" t="s">
        <v>703</v>
      </c>
      <c r="P5" s="125" t="str">
        <f>IFERROR(VLOOKUP(G5&amp;"-"&amp;E5, Degree_Spark_DataBase[[Helper]:[Decan Planets]], 2, 0)&amp;" spark","")</f>
        <v>Sagittarius spark</v>
      </c>
      <c r="Q5" s="124" t="s">
        <v>703</v>
      </c>
      <c r="R5" s="125" t="str">
        <f>IFERROR(VLOOKUP(G5&amp;"-"&amp;E5, Degree_Spark_DataBase[[Helper]:[Decan Planets]], 3, 0)&amp;" decan","Not Found")</f>
        <v>Leo decan</v>
      </c>
      <c r="S5" s="124" t="s">
        <v>90</v>
      </c>
      <c r="T5" s="125" t="str">
        <f>IFERROR(VLOOKUP(C5&amp;"-"&amp;E5&amp;"-"&amp;I5, TruePlacement_DataBase1[[Helper]:[Sign3]], 4,FALSE), "")</f>
        <v>Sagittarius</v>
      </c>
      <c r="U5" s="124" t="s">
        <v>701</v>
      </c>
      <c r="V5" s="125" t="str">
        <f>IFERROR(VLOOKUP(C5&amp;"-"&amp;E5&amp;"-"&amp;I5, TruePlacement_DataBase1[[Helper]:[Sign3]], 6,FALSE), "")</f>
        <v>Sagittarius</v>
      </c>
      <c r="W5" s="125" t="str">
        <f>IFERROR("and  "&amp;VLOOKUP(C5&amp;"-"&amp;E5&amp;"-"&amp;I5, TruePlacement_DataBase1[[Helper]:[Sign6]], 9,FALSE), "")</f>
        <v xml:space="preserve">and  </v>
      </c>
      <c r="X5" s="127" t="s">
        <v>702</v>
      </c>
      <c r="Y5" s="96"/>
      <c r="Z5" s="112"/>
      <c r="AA5" s="112"/>
      <c r="AB5" s="112"/>
      <c r="AC5" s="112"/>
      <c r="AD5" s="112"/>
      <c r="AE5" s="112"/>
      <c r="AF5" s="112"/>
      <c r="AG5" s="112"/>
      <c r="AH5" s="152">
        <v>2</v>
      </c>
      <c r="AI5" s="123"/>
      <c r="AJ5" s="124" t="s">
        <v>137</v>
      </c>
      <c r="AK5" s="125"/>
      <c r="AL5" s="124" t="s">
        <v>703</v>
      </c>
      <c r="AM5" s="125"/>
      <c r="AN5" s="124" t="s">
        <v>703</v>
      </c>
      <c r="AO5" s="125"/>
      <c r="AP5" s="124" t="s">
        <v>90</v>
      </c>
      <c r="AQ5" s="126"/>
      <c r="AR5" s="124" t="s">
        <v>701</v>
      </c>
      <c r="AS5" s="125"/>
      <c r="AT5" s="125"/>
      <c r="AU5" s="127" t="s">
        <v>702</v>
      </c>
      <c r="AV5" s="149"/>
      <c r="AW5" s="150"/>
    </row>
    <row r="6" spans="1:51" s="94" customFormat="1" x14ac:dyDescent="0.25">
      <c r="L6" s="95"/>
      <c r="M6" s="95"/>
      <c r="N6" s="95"/>
      <c r="O6" s="95"/>
      <c r="P6" s="163" t="str">
        <f>IFERROR(VLOOKUP(G5&amp;"-"&amp;E5, Degree_Spark_DataBase[[Helper]:[Decan Planets]], 2, 0),"spark")</f>
        <v>Sagittarius</v>
      </c>
      <c r="Q6" s="164"/>
      <c r="R6" s="163" t="str">
        <f>IFERROR(VLOOKUP(G5&amp;"-"&amp;E5, Degree_Spark_DataBase[[Helper]:[Decan Planets]], 3, 0),"decan")</f>
        <v>Leo</v>
      </c>
      <c r="V6" s="148" t="str">
        <f>IFERROR(VLOOKUP(C5&amp;"-"&amp;E5&amp;"-"&amp;I5, TruePlacement_DataBase1[[Helper]:[Sign3]], 6,FALSE), "")</f>
        <v>Sagittarius</v>
      </c>
      <c r="W6" s="148">
        <f>IFERROR(VLOOKUP(C5&amp;"-"&amp;E5&amp;"-"&amp;I5, TruePlacement_DataBase1[[Helper]:[Sign6]], 9,FALSE), "")</f>
        <v>0</v>
      </c>
      <c r="Y6" s="101"/>
      <c r="AC6" s="111"/>
      <c r="AD6" s="111"/>
      <c r="AE6" s="111"/>
      <c r="AF6" s="111"/>
      <c r="AG6" s="111"/>
      <c r="AH6" s="111"/>
      <c r="AI6" s="111"/>
      <c r="AJ6" s="111"/>
      <c r="AK6" s="111"/>
      <c r="AL6" s="111"/>
      <c r="AM6" s="111"/>
      <c r="AN6" s="111"/>
    </row>
    <row r="7" spans="1:51" s="94" customFormat="1" x14ac:dyDescent="0.25">
      <c r="L7" s="95"/>
      <c r="M7" s="95"/>
      <c r="N7" s="95"/>
      <c r="O7" s="95"/>
      <c r="P7" s="164"/>
      <c r="Q7" s="164"/>
      <c r="R7" s="164"/>
      <c r="V7" s="148" t="str">
        <f>IFERROR(VLOOKUP(C5&amp;"-"&amp;E5&amp;"-"&amp;I5, TruePlacement_DataBase1[[Helper]:[Sign5]], 7,0), "")</f>
        <v>Leo</v>
      </c>
      <c r="W7" s="148">
        <f>IFERROR(VLOOKUP(C5&amp;"-"&amp;E5&amp;"-"&amp;I5, TruePlacement_DataBase1[[Helper]:[Sign6]], 10,0), "")</f>
        <v>0</v>
      </c>
      <c r="Y7" s="101"/>
    </row>
    <row r="8" spans="1:51" s="94" customFormat="1" ht="21" customHeight="1" x14ac:dyDescent="0.25">
      <c r="L8" s="95"/>
      <c r="M8" s="95"/>
      <c r="N8" s="95"/>
      <c r="O8" s="95"/>
      <c r="P8" s="164"/>
      <c r="Q8" s="164"/>
      <c r="R8" s="164"/>
      <c r="V8" s="97"/>
      <c r="W8" s="97"/>
      <c r="X8" s="153"/>
      <c r="Y8" s="101"/>
    </row>
    <row r="9" spans="1:51" s="94" customFormat="1" x14ac:dyDescent="0.25">
      <c r="L9" s="95"/>
      <c r="M9" s="95"/>
      <c r="N9" s="95"/>
      <c r="O9" s="95"/>
      <c r="P9" s="95"/>
      <c r="Q9" s="95"/>
      <c r="R9" s="95"/>
      <c r="Y9" s="95"/>
      <c r="AC9" s="111"/>
      <c r="AD9" s="111"/>
      <c r="AE9" s="111"/>
      <c r="AF9" s="111"/>
      <c r="AG9" s="111"/>
      <c r="AH9" s="111"/>
      <c r="AI9" s="111"/>
      <c r="AJ9" s="111"/>
      <c r="AK9" s="111"/>
      <c r="AL9" s="111"/>
      <c r="AM9" s="111"/>
      <c r="AN9" s="111"/>
      <c r="AO9" s="111"/>
      <c r="AP9" s="111"/>
      <c r="AQ9" s="111"/>
      <c r="AR9" s="111"/>
      <c r="AS9" s="111"/>
      <c r="AT9" s="111"/>
      <c r="AU9" s="111"/>
      <c r="AV9" s="111"/>
      <c r="AW9" s="111"/>
      <c r="AX9" s="111"/>
      <c r="AY9" s="111"/>
    </row>
    <row r="10" spans="1:51" s="94" customFormat="1" ht="15.75" thickBot="1" x14ac:dyDescent="0.3">
      <c r="Y10" s="95"/>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row>
    <row r="11" spans="1:51" s="75" customFormat="1" ht="15.75" thickBot="1" x14ac:dyDescent="0.3">
      <c r="A11" s="94"/>
      <c r="B11" s="80"/>
      <c r="C11" s="81"/>
      <c r="D11" s="81"/>
      <c r="E11" s="81"/>
      <c r="F11" s="81"/>
      <c r="G11" s="81"/>
      <c r="H11" s="81"/>
      <c r="I11" s="81"/>
      <c r="J11" s="81"/>
      <c r="K11" s="81"/>
      <c r="L11" s="81"/>
      <c r="M11" s="81"/>
      <c r="N11" s="81"/>
      <c r="O11" s="81"/>
      <c r="P11" s="81"/>
      <c r="Q11" s="81"/>
      <c r="R11" s="81"/>
      <c r="S11" s="82"/>
      <c r="T11" s="94"/>
      <c r="U11" s="94"/>
      <c r="V11" s="94"/>
      <c r="W11" s="94"/>
      <c r="X11" s="94"/>
      <c r="Y11" s="94"/>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row>
    <row r="12" spans="1:51" s="75" customFormat="1" ht="29.25" customHeight="1" thickTop="1" x14ac:dyDescent="0.25">
      <c r="A12" s="94"/>
      <c r="B12" s="83"/>
      <c r="C12" s="308" t="s">
        <v>133</v>
      </c>
      <c r="D12" s="309"/>
      <c r="E12" s="84"/>
      <c r="F12" s="308" t="s">
        <v>153</v>
      </c>
      <c r="G12" s="309"/>
      <c r="H12" s="84"/>
      <c r="I12" s="308" t="s">
        <v>60</v>
      </c>
      <c r="J12" s="309"/>
      <c r="K12" s="84"/>
      <c r="L12" s="308" t="s">
        <v>153</v>
      </c>
      <c r="M12" s="313"/>
      <c r="N12" s="309"/>
      <c r="O12" s="84"/>
      <c r="P12" s="84"/>
      <c r="Q12" s="308" t="s">
        <v>60</v>
      </c>
      <c r="R12" s="309"/>
      <c r="S12" s="85"/>
      <c r="T12" s="94"/>
      <c r="U12" s="94"/>
      <c r="V12" s="94"/>
      <c r="W12" s="94"/>
      <c r="X12" s="94"/>
      <c r="Y12" s="94"/>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row>
    <row r="13" spans="1:51" s="75" customFormat="1" ht="24" customHeight="1" thickBot="1" x14ac:dyDescent="0.3">
      <c r="A13" s="94"/>
      <c r="B13" s="83"/>
      <c r="C13" s="283" t="str">
        <f>L5</f>
        <v>SUN</v>
      </c>
      <c r="D13" s="284"/>
      <c r="E13" s="78"/>
      <c r="F13" s="283" t="str">
        <f>V5</f>
        <v>Sagittarius</v>
      </c>
      <c r="G13" s="284"/>
      <c r="H13" s="78"/>
      <c r="I13" s="283" t="str">
        <f>V7</f>
        <v>Leo</v>
      </c>
      <c r="J13" s="284"/>
      <c r="K13" s="78"/>
      <c r="L13" s="285" t="str">
        <f>N5</f>
        <v>Aries</v>
      </c>
      <c r="M13" s="286"/>
      <c r="N13" s="287"/>
      <c r="O13" s="86"/>
      <c r="P13" s="86"/>
      <c r="Q13" s="285" t="str">
        <f>T5</f>
        <v>Sagittarius</v>
      </c>
      <c r="R13" s="287"/>
      <c r="S13" s="85"/>
      <c r="T13" s="94"/>
      <c r="U13" s="94"/>
      <c r="V13" s="94"/>
      <c r="W13" s="94"/>
      <c r="X13" s="94"/>
      <c r="Y13" s="108"/>
      <c r="Z13" s="113"/>
      <c r="AA13" s="113"/>
      <c r="AB13" s="113"/>
      <c r="AC13" s="113"/>
      <c r="AD13" s="113"/>
      <c r="AE13" s="113"/>
      <c r="AF13" s="113"/>
      <c r="AG13" s="113"/>
      <c r="AH13" s="111"/>
      <c r="AI13" s="111"/>
      <c r="AJ13" s="111"/>
      <c r="AK13" s="111"/>
      <c r="AL13" s="111"/>
      <c r="AM13" s="111"/>
      <c r="AN13" s="111"/>
      <c r="AO13" s="111"/>
      <c r="AP13" s="111"/>
      <c r="AQ13" s="111"/>
      <c r="AR13" s="111"/>
      <c r="AS13" s="111"/>
      <c r="AT13" s="111"/>
      <c r="AU13" s="111"/>
      <c r="AV13" s="111"/>
      <c r="AW13" s="111"/>
      <c r="AX13" s="111"/>
      <c r="AY13" s="111"/>
    </row>
    <row r="14" spans="1:51" s="75" customFormat="1" ht="11.25" customHeight="1" thickTop="1" x14ac:dyDescent="0.25">
      <c r="A14" s="94"/>
      <c r="B14" s="83"/>
      <c r="C14" s="78"/>
      <c r="D14" s="78"/>
      <c r="E14" s="78"/>
      <c r="F14" s="78"/>
      <c r="G14" s="78"/>
      <c r="H14" s="78"/>
      <c r="I14" s="78"/>
      <c r="J14" s="78"/>
      <c r="K14" s="78"/>
      <c r="L14" s="79"/>
      <c r="M14" s="79"/>
      <c r="N14" s="79"/>
      <c r="O14" s="79"/>
      <c r="P14" s="79"/>
      <c r="Q14" s="79"/>
      <c r="R14" s="79"/>
      <c r="S14" s="85"/>
      <c r="T14" s="94"/>
      <c r="U14" s="94"/>
      <c r="V14" s="94"/>
      <c r="W14" s="94"/>
      <c r="X14" s="94"/>
      <c r="Y14" s="108"/>
      <c r="Z14" s="113"/>
      <c r="AA14" s="113"/>
      <c r="AB14" s="113"/>
      <c r="AC14" s="113"/>
      <c r="AD14" s="113"/>
      <c r="AE14" s="113"/>
      <c r="AF14" s="113"/>
      <c r="AG14" s="113"/>
      <c r="AH14" s="111"/>
      <c r="AI14" s="111"/>
      <c r="AJ14" s="111"/>
      <c r="AK14" s="111"/>
      <c r="AL14" s="111"/>
      <c r="AM14" s="111"/>
      <c r="AN14" s="111"/>
      <c r="AO14" s="111"/>
      <c r="AP14" s="111"/>
      <c r="AQ14" s="111"/>
      <c r="AR14" s="111"/>
      <c r="AS14" s="111"/>
      <c r="AT14" s="111"/>
      <c r="AU14" s="111"/>
      <c r="AV14" s="111"/>
      <c r="AW14" s="111"/>
      <c r="AX14" s="111"/>
      <c r="AY14" s="111"/>
    </row>
    <row r="15" spans="1:51" s="68" customFormat="1" ht="25.5" customHeight="1" x14ac:dyDescent="0.25">
      <c r="A15" s="93"/>
      <c r="B15" s="87"/>
      <c r="C15" s="310" t="s">
        <v>320</v>
      </c>
      <c r="D15" s="311"/>
      <c r="E15" s="76" t="s">
        <v>148</v>
      </c>
      <c r="F15" s="311" t="s">
        <v>520</v>
      </c>
      <c r="G15" s="311"/>
      <c r="H15" s="76" t="s">
        <v>150</v>
      </c>
      <c r="I15" s="311" t="s">
        <v>339</v>
      </c>
      <c r="J15" s="311"/>
      <c r="K15" s="77" t="s">
        <v>152</v>
      </c>
      <c r="L15" s="311" t="s">
        <v>157</v>
      </c>
      <c r="M15" s="311"/>
      <c r="N15" s="311"/>
      <c r="O15" s="306" t="s">
        <v>154</v>
      </c>
      <c r="P15" s="306"/>
      <c r="Q15" s="311" t="s">
        <v>489</v>
      </c>
      <c r="R15" s="312"/>
      <c r="S15" s="88"/>
      <c r="T15" s="93"/>
      <c r="U15" s="93"/>
      <c r="V15" s="93"/>
      <c r="W15" s="93"/>
      <c r="X15" s="93"/>
      <c r="Y15" s="109"/>
      <c r="Z15" s="113"/>
      <c r="AA15" s="114"/>
      <c r="AB15" s="113"/>
      <c r="AC15" s="114"/>
      <c r="AD15" s="113"/>
      <c r="AE15" s="114"/>
      <c r="AF15" s="113"/>
      <c r="AG15" s="114"/>
      <c r="AH15" s="23"/>
      <c r="AI15" s="23"/>
      <c r="AJ15" s="23"/>
      <c r="AK15" s="23"/>
      <c r="AL15" s="23"/>
      <c r="AM15" s="23"/>
      <c r="AN15" s="23"/>
      <c r="AO15" s="23"/>
      <c r="AP15" s="23"/>
      <c r="AQ15" s="23"/>
      <c r="AR15" s="23"/>
      <c r="AS15" s="23"/>
      <c r="AT15" s="23"/>
      <c r="AU15" s="23"/>
      <c r="AV15" s="23"/>
      <c r="AW15" s="23"/>
      <c r="AX15" s="23"/>
      <c r="AY15" s="23"/>
    </row>
    <row r="16" spans="1:51" s="68" customFormat="1" ht="15.75" thickBot="1" x14ac:dyDescent="0.3">
      <c r="A16" s="93"/>
      <c r="B16" s="89"/>
      <c r="C16" s="90"/>
      <c r="D16" s="90"/>
      <c r="E16" s="90"/>
      <c r="F16" s="90"/>
      <c r="G16" s="90"/>
      <c r="H16" s="90"/>
      <c r="I16" s="90"/>
      <c r="J16" s="90"/>
      <c r="K16" s="90"/>
      <c r="L16" s="91"/>
      <c r="M16" s="91"/>
      <c r="N16" s="91"/>
      <c r="O16" s="91"/>
      <c r="P16" s="91"/>
      <c r="Q16" s="91"/>
      <c r="R16" s="91"/>
      <c r="S16" s="92"/>
      <c r="T16" s="93"/>
      <c r="U16" s="93"/>
      <c r="V16" s="93"/>
      <c r="W16" s="93"/>
      <c r="X16" s="93"/>
      <c r="Y16" s="110"/>
      <c r="Z16" s="115"/>
      <c r="AA16" s="115"/>
      <c r="AB16" s="115"/>
      <c r="AC16" s="115"/>
      <c r="AD16" s="115"/>
      <c r="AE16" s="115"/>
      <c r="AF16" s="115"/>
      <c r="AG16" s="115"/>
      <c r="AH16" s="23"/>
      <c r="AI16" s="23"/>
      <c r="AJ16" s="23"/>
      <c r="AK16" s="23"/>
      <c r="AL16" s="23"/>
      <c r="AM16" s="23"/>
      <c r="AN16" s="23"/>
      <c r="AO16" s="23"/>
      <c r="AP16" s="23"/>
      <c r="AQ16" s="23"/>
      <c r="AR16" s="23"/>
      <c r="AS16" s="23"/>
      <c r="AT16" s="23"/>
      <c r="AU16" s="23"/>
      <c r="AV16" s="23"/>
      <c r="AW16" s="23"/>
      <c r="AX16" s="23"/>
      <c r="AY16" s="23"/>
    </row>
    <row r="17" spans="1:56" s="93" customFormat="1" x14ac:dyDescent="0.25">
      <c r="C17" s="99"/>
      <c r="D17" s="100"/>
      <c r="E17" s="99"/>
      <c r="F17" s="100"/>
      <c r="G17" s="118"/>
      <c r="H17" s="119"/>
      <c r="I17" s="118"/>
      <c r="J17" s="119"/>
      <c r="K17" s="118"/>
      <c r="L17" s="120"/>
      <c r="M17" s="120"/>
      <c r="N17" s="120"/>
      <c r="O17" s="120"/>
      <c r="P17" s="120"/>
      <c r="Q17" s="120"/>
      <c r="R17" s="120"/>
      <c r="S17" s="120"/>
      <c r="T17" s="120"/>
      <c r="U17" s="120"/>
      <c r="V17" s="120"/>
      <c r="Y17" s="99"/>
      <c r="Z17" s="116"/>
      <c r="AA17" s="117"/>
      <c r="AB17" s="116"/>
      <c r="AC17" s="117"/>
      <c r="AD17" s="116"/>
      <c r="AE17" s="117"/>
      <c r="AF17" s="116"/>
      <c r="AG17" s="117"/>
      <c r="AH17" s="23"/>
      <c r="AI17" s="23"/>
      <c r="AJ17" s="23"/>
      <c r="AK17" s="23"/>
      <c r="AL17" s="23"/>
      <c r="AM17" s="23"/>
      <c r="AN17" s="23"/>
      <c r="AO17" s="23"/>
      <c r="AP17" s="23"/>
      <c r="AQ17" s="23"/>
      <c r="AR17" s="23"/>
      <c r="AS17" s="23"/>
      <c r="AT17" s="23"/>
      <c r="AU17" s="23"/>
      <c r="AV17" s="23"/>
      <c r="AW17" s="23"/>
      <c r="AX17" s="23"/>
      <c r="AY17" s="23"/>
    </row>
    <row r="18" spans="1:56" s="68" customFormat="1" ht="27.75" customHeight="1" thickBot="1" x14ac:dyDescent="0.3">
      <c r="A18" s="23"/>
      <c r="B18" s="23"/>
      <c r="C18" s="264" t="s">
        <v>63</v>
      </c>
      <c r="D18" s="265"/>
      <c r="E18" s="111"/>
      <c r="F18" s="111"/>
      <c r="G18" s="121"/>
      <c r="H18" s="121"/>
      <c r="I18" s="121"/>
      <c r="J18" s="121"/>
      <c r="K18" s="121"/>
      <c r="L18" s="121"/>
      <c r="M18" s="121"/>
      <c r="N18" s="121"/>
      <c r="O18" s="121"/>
      <c r="P18" s="121"/>
      <c r="Q18" s="121"/>
      <c r="R18" s="121"/>
      <c r="S18" s="121"/>
      <c r="T18" s="121"/>
      <c r="U18" s="121"/>
      <c r="V18" s="121"/>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row>
    <row r="19" spans="1:56" s="68" customFormat="1" ht="27.75" customHeight="1" x14ac:dyDescent="0.25">
      <c r="A19" s="23"/>
      <c r="B19" s="23"/>
      <c r="C19" s="266" t="str">
        <f>P6</f>
        <v>Sagittarius</v>
      </c>
      <c r="D19" s="267"/>
      <c r="E19" s="314"/>
      <c r="F19" s="315"/>
      <c r="G19" s="121"/>
      <c r="H19" s="121"/>
      <c r="I19" s="292" t="str">
        <f>C15&amp;" "&amp;E15&amp;" "&amp;F15&amp;" "&amp;H15&amp;" "&amp;I15&amp;" "&amp;K15&amp;" "&amp;L15&amp;" "&amp;O15&amp;" "&amp;Q15</f>
        <v>Existence based on  Philosophy through Purpose directed into Action expressed through  Coaching</v>
      </c>
      <c r="J19" s="293"/>
      <c r="K19" s="293"/>
      <c r="L19" s="293"/>
      <c r="M19" s="293"/>
      <c r="N19" s="293"/>
      <c r="O19" s="293"/>
      <c r="P19" s="293"/>
      <c r="Q19" s="293"/>
      <c r="R19" s="293"/>
      <c r="S19" s="294"/>
      <c r="T19" s="121"/>
      <c r="U19" s="121"/>
      <c r="V19" s="121"/>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row>
    <row r="20" spans="1:56" s="68" customFormat="1" ht="17.25" customHeight="1" x14ac:dyDescent="0.25">
      <c r="A20" s="23"/>
      <c r="B20" s="23"/>
      <c r="C20" s="111"/>
      <c r="D20" s="111"/>
      <c r="E20" s="112"/>
      <c r="F20" s="112"/>
      <c r="G20" s="121"/>
      <c r="H20" s="121"/>
      <c r="I20" s="295"/>
      <c r="J20" s="296"/>
      <c r="K20" s="296"/>
      <c r="L20" s="296"/>
      <c r="M20" s="296"/>
      <c r="N20" s="296"/>
      <c r="O20" s="296"/>
      <c r="P20" s="296"/>
      <c r="Q20" s="296"/>
      <c r="R20" s="296"/>
      <c r="S20" s="297"/>
      <c r="T20" s="121"/>
      <c r="U20" s="121"/>
      <c r="V20" s="121"/>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row>
    <row r="21" spans="1:56" s="68" customFormat="1" ht="27.75" customHeight="1" x14ac:dyDescent="0.25">
      <c r="A21" s="23"/>
      <c r="B21" s="23"/>
      <c r="C21" s="264" t="s">
        <v>704</v>
      </c>
      <c r="D21" s="265"/>
      <c r="E21" s="112"/>
      <c r="F21" s="112"/>
      <c r="G21" s="121"/>
      <c r="H21" s="121"/>
      <c r="I21" s="295"/>
      <c r="J21" s="296"/>
      <c r="K21" s="296"/>
      <c r="L21" s="296"/>
      <c r="M21" s="296"/>
      <c r="N21" s="296"/>
      <c r="O21" s="296"/>
      <c r="P21" s="296"/>
      <c r="Q21" s="296"/>
      <c r="R21" s="296"/>
      <c r="S21" s="297"/>
      <c r="T21" s="121"/>
      <c r="U21" s="183"/>
      <c r="V21" s="121"/>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row>
    <row r="22" spans="1:56" s="68" customFormat="1" ht="30" customHeight="1" x14ac:dyDescent="0.25">
      <c r="A22" s="23"/>
      <c r="B22" s="23"/>
      <c r="C22" s="266" t="str">
        <f>R6</f>
        <v>Leo</v>
      </c>
      <c r="D22" s="267"/>
      <c r="E22" s="314"/>
      <c r="F22" s="315"/>
      <c r="G22" s="121"/>
      <c r="H22" s="121"/>
      <c r="I22" s="298"/>
      <c r="J22" s="299"/>
      <c r="K22" s="299"/>
      <c r="L22" s="299"/>
      <c r="M22" s="299"/>
      <c r="N22" s="299"/>
      <c r="O22" s="299"/>
      <c r="P22" s="299"/>
      <c r="Q22" s="299"/>
      <c r="R22" s="299"/>
      <c r="S22" s="300"/>
      <c r="T22" s="121"/>
      <c r="U22" s="121"/>
      <c r="V22" s="121"/>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row>
    <row r="23" spans="1:56" s="68" customFormat="1" ht="15.75" thickBot="1" x14ac:dyDescent="0.3">
      <c r="A23" s="23"/>
      <c r="B23" s="23"/>
      <c r="C23" s="23"/>
      <c r="D23" s="23"/>
      <c r="E23" s="23"/>
      <c r="F23" s="23"/>
      <c r="G23" s="121"/>
      <c r="H23" s="121"/>
      <c r="I23" s="301"/>
      <c r="J23" s="302"/>
      <c r="K23" s="302"/>
      <c r="L23" s="302"/>
      <c r="M23" s="302"/>
      <c r="N23" s="302"/>
      <c r="O23" s="302"/>
      <c r="P23" s="302"/>
      <c r="Q23" s="302"/>
      <c r="R23" s="302"/>
      <c r="S23" s="303"/>
      <c r="T23" s="121"/>
      <c r="U23" s="121"/>
      <c r="V23" s="121"/>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row>
    <row r="24" spans="1:56" s="68" customFormat="1" ht="15.75" thickBot="1" x14ac:dyDescent="0.3">
      <c r="A24" s="23"/>
      <c r="B24" s="23"/>
      <c r="C24" s="121"/>
      <c r="D24" s="121"/>
      <c r="E24" s="121"/>
      <c r="F24" s="121"/>
      <c r="G24" s="121"/>
      <c r="H24" s="121"/>
      <c r="I24" s="121"/>
      <c r="J24" s="121"/>
      <c r="K24" s="121"/>
      <c r="L24" s="121"/>
      <c r="M24" s="121"/>
      <c r="N24" s="121"/>
      <c r="O24" s="121"/>
      <c r="P24" s="121"/>
      <c r="Q24" s="121"/>
      <c r="R24" s="121"/>
      <c r="S24" s="121"/>
      <c r="T24" s="121"/>
      <c r="U24" s="121"/>
      <c r="V24" s="121"/>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row>
    <row r="25" spans="1:56" s="68" customFormat="1" ht="21" customHeight="1" thickBot="1" x14ac:dyDescent="0.35">
      <c r="A25" s="23"/>
      <c r="B25" s="23"/>
      <c r="C25" s="122" t="s">
        <v>711</v>
      </c>
      <c r="D25" s="121"/>
      <c r="E25" s="121"/>
      <c r="F25" s="121"/>
      <c r="G25" s="121"/>
      <c r="H25" s="121"/>
      <c r="I25" s="121"/>
      <c r="J25" s="121"/>
      <c r="K25" s="121"/>
      <c r="L25" s="121"/>
      <c r="M25" s="121"/>
      <c r="N25" s="121"/>
      <c r="O25" s="121"/>
      <c r="P25" s="121"/>
      <c r="Q25" s="121"/>
      <c r="R25" s="121"/>
      <c r="S25" s="121"/>
      <c r="T25" s="121"/>
      <c r="U25" s="121"/>
      <c r="V25" s="121"/>
      <c r="W25" s="23"/>
      <c r="X25" s="23"/>
      <c r="Y25" s="23"/>
      <c r="Z25" s="261" t="str">
        <f>AB30&amp;" is "&amp;AB31&amp;", with "&amp;AB32&amp;" spark in "&amp;AB33&amp;" decan, expressed through "&amp;AB34&amp;" with "&amp;AB35&amp;" base (through "&amp;AB36&amp;")"</f>
        <v>SUN is Aries, with Sagittarius spark in Leo decan, expressed through Sagittarius with Sagittarius base (through Leo)</v>
      </c>
      <c r="AA25" s="262"/>
      <c r="AB25" s="262"/>
      <c r="AC25" s="262"/>
      <c r="AD25" s="262"/>
      <c r="AE25" s="262"/>
      <c r="AF25" s="262"/>
      <c r="AG25" s="262"/>
      <c r="AH25" s="262"/>
      <c r="AI25" s="262"/>
      <c r="AJ25" s="262"/>
      <c r="AK25" s="263"/>
      <c r="AL25" s="23"/>
      <c r="AM25" s="23"/>
      <c r="AN25" s="23"/>
      <c r="AO25" s="23"/>
      <c r="AP25" s="23"/>
      <c r="AQ25" s="23"/>
      <c r="AR25" s="23"/>
      <c r="AS25" s="23"/>
      <c r="AT25" s="23"/>
      <c r="AU25" s="23"/>
      <c r="AV25" s="23"/>
      <c r="AW25" s="23"/>
      <c r="AX25" s="23"/>
      <c r="AY25" s="23"/>
      <c r="AZ25" s="23"/>
      <c r="BA25" s="23"/>
      <c r="BB25" s="23"/>
      <c r="BC25" s="23"/>
      <c r="BD25" s="23"/>
    </row>
    <row r="26" spans="1:56" s="68" customFormat="1" ht="8.25" customHeight="1" thickBot="1" x14ac:dyDescent="0.3">
      <c r="A26" s="23"/>
      <c r="B26" s="23"/>
      <c r="C26" s="121"/>
      <c r="D26" s="121"/>
      <c r="E26" s="121"/>
      <c r="F26" s="121"/>
      <c r="G26" s="121"/>
      <c r="H26" s="121"/>
      <c r="I26" s="121"/>
      <c r="J26" s="121"/>
      <c r="K26" s="121"/>
      <c r="L26" s="121"/>
      <c r="M26" s="121"/>
      <c r="N26" s="121"/>
      <c r="O26" s="121"/>
      <c r="P26" s="121"/>
      <c r="Q26" s="121"/>
      <c r="R26" s="121"/>
      <c r="S26" s="121"/>
      <c r="T26" s="121"/>
      <c r="U26" s="121"/>
      <c r="V26" s="121"/>
      <c r="W26" s="23"/>
      <c r="X26" s="23"/>
      <c r="Y26" s="23"/>
      <c r="Z26" s="255" t="str">
        <f>AB30&amp;" is "&amp;AB31&amp;", with "&amp;AB32&amp;" spark in "&amp;AB33&amp;" decan, expressed through "&amp;AB34&amp;" with "&amp;AB35&amp;" and "&amp;AB37&amp;" base (through "&amp;AB36&amp;" and "&amp;AB38&amp;")"</f>
        <v>SUN is Aries, with Sagittarius spark in Leo decan, expressed through Sagittarius with Sagittarius and 0 base (through Leo and 0)</v>
      </c>
      <c r="AA26" s="256"/>
      <c r="AB26" s="256"/>
      <c r="AC26" s="256"/>
      <c r="AD26" s="256"/>
      <c r="AE26" s="256"/>
      <c r="AF26" s="256"/>
      <c r="AG26" s="256"/>
      <c r="AH26" s="256"/>
      <c r="AI26" s="256"/>
      <c r="AJ26" s="256"/>
      <c r="AK26" s="257"/>
      <c r="AL26" s="23"/>
      <c r="AM26" s="23"/>
      <c r="AN26" s="23"/>
      <c r="AO26" s="23"/>
      <c r="AP26" s="23"/>
      <c r="AQ26" s="23"/>
      <c r="AR26" s="23"/>
      <c r="AS26" s="23"/>
      <c r="AT26" s="23"/>
      <c r="AU26" s="23"/>
      <c r="AV26" s="23"/>
      <c r="AW26" s="23"/>
      <c r="AX26" s="23"/>
      <c r="AY26" s="23"/>
      <c r="AZ26" s="23"/>
      <c r="BA26" s="23"/>
      <c r="BB26" s="23"/>
      <c r="BC26" s="23"/>
      <c r="BD26" s="23"/>
    </row>
    <row r="27" spans="1:56" s="68" customFormat="1" ht="16.5" thickTop="1" thickBot="1" x14ac:dyDescent="0.3">
      <c r="A27" s="23"/>
      <c r="B27" s="23"/>
      <c r="C27" s="270"/>
      <c r="D27" s="271"/>
      <c r="E27" s="271"/>
      <c r="F27" s="271"/>
      <c r="G27" s="271"/>
      <c r="H27" s="271"/>
      <c r="I27" s="271"/>
      <c r="J27" s="271"/>
      <c r="K27" s="271"/>
      <c r="L27" s="271"/>
      <c r="M27" s="271"/>
      <c r="N27" s="271"/>
      <c r="O27" s="271"/>
      <c r="P27" s="271"/>
      <c r="Q27" s="271"/>
      <c r="R27" s="271"/>
      <c r="S27" s="272"/>
      <c r="T27" s="121"/>
      <c r="U27" s="121"/>
      <c r="V27" s="121"/>
      <c r="W27" s="23"/>
      <c r="X27" s="23"/>
      <c r="Y27" s="23"/>
      <c r="Z27" s="258"/>
      <c r="AA27" s="259"/>
      <c r="AB27" s="259"/>
      <c r="AC27" s="259"/>
      <c r="AD27" s="259"/>
      <c r="AE27" s="259"/>
      <c r="AF27" s="259"/>
      <c r="AG27" s="259"/>
      <c r="AH27" s="259"/>
      <c r="AI27" s="259"/>
      <c r="AJ27" s="259"/>
      <c r="AK27" s="260"/>
      <c r="AL27" s="23"/>
      <c r="AM27" s="23"/>
      <c r="AN27" s="23"/>
      <c r="AO27" s="23"/>
      <c r="AP27" s="23"/>
      <c r="AQ27" s="23"/>
      <c r="AR27" s="23"/>
      <c r="AS27" s="23"/>
      <c r="AT27" s="23"/>
      <c r="AU27" s="23"/>
      <c r="AV27" s="23"/>
      <c r="AW27" s="23"/>
      <c r="AX27" s="23"/>
      <c r="AY27" s="23"/>
      <c r="AZ27" s="23"/>
      <c r="BA27" s="23"/>
      <c r="BB27" s="23"/>
      <c r="BC27" s="23"/>
      <c r="BD27" s="23"/>
    </row>
    <row r="28" spans="1:56" s="68" customFormat="1" ht="15.75" thickBot="1" x14ac:dyDescent="0.3">
      <c r="A28" s="23"/>
      <c r="B28" s="23"/>
      <c r="C28" s="273"/>
      <c r="D28" s="274"/>
      <c r="E28" s="274"/>
      <c r="F28" s="274"/>
      <c r="G28" s="274"/>
      <c r="H28" s="274"/>
      <c r="I28" s="274"/>
      <c r="J28" s="274"/>
      <c r="K28" s="274"/>
      <c r="L28" s="274"/>
      <c r="M28" s="274"/>
      <c r="N28" s="274"/>
      <c r="O28" s="274"/>
      <c r="P28" s="274"/>
      <c r="Q28" s="274"/>
      <c r="R28" s="274"/>
      <c r="S28" s="275"/>
      <c r="T28" s="121"/>
      <c r="U28" s="121"/>
      <c r="V28" s="121"/>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row>
    <row r="29" spans="1:56" s="68" customFormat="1" x14ac:dyDescent="0.25">
      <c r="A29" s="23"/>
      <c r="B29" s="23"/>
      <c r="C29" s="273"/>
      <c r="D29" s="274"/>
      <c r="E29" s="274"/>
      <c r="F29" s="274"/>
      <c r="G29" s="274"/>
      <c r="H29" s="274"/>
      <c r="I29" s="274"/>
      <c r="J29" s="274"/>
      <c r="K29" s="274"/>
      <c r="L29" s="274"/>
      <c r="M29" s="274"/>
      <c r="N29" s="274"/>
      <c r="O29" s="274"/>
      <c r="P29" s="274"/>
      <c r="Q29" s="274"/>
      <c r="R29" s="274"/>
      <c r="S29" s="275"/>
      <c r="T29" s="121"/>
      <c r="U29" s="121"/>
      <c r="V29" s="121"/>
      <c r="W29" s="23"/>
      <c r="X29" s="23"/>
      <c r="Y29" s="23"/>
      <c r="Z29" s="170"/>
      <c r="AA29" s="171"/>
      <c r="AB29" s="171"/>
      <c r="AC29" s="172"/>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row>
    <row r="30" spans="1:56" s="68" customFormat="1" x14ac:dyDescent="0.25">
      <c r="A30" s="23"/>
      <c r="B30" s="23"/>
      <c r="C30" s="273"/>
      <c r="D30" s="274"/>
      <c r="E30" s="274"/>
      <c r="F30" s="274"/>
      <c r="G30" s="274"/>
      <c r="H30" s="274"/>
      <c r="I30" s="274"/>
      <c r="J30" s="274"/>
      <c r="K30" s="274"/>
      <c r="L30" s="274"/>
      <c r="M30" s="274"/>
      <c r="N30" s="274"/>
      <c r="O30" s="274"/>
      <c r="P30" s="274"/>
      <c r="Q30" s="274"/>
      <c r="R30" s="274"/>
      <c r="S30" s="275"/>
      <c r="T30" s="121"/>
      <c r="U30" s="121"/>
      <c r="V30" s="121"/>
      <c r="W30" s="23"/>
      <c r="X30" s="23"/>
      <c r="Y30" s="23"/>
      <c r="Z30" s="173"/>
      <c r="AA30" s="178" t="s">
        <v>716</v>
      </c>
      <c r="AB30" s="179" t="str">
        <f>L5</f>
        <v>SUN</v>
      </c>
      <c r="AC30" s="174"/>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row>
    <row r="31" spans="1:56" s="68" customFormat="1" x14ac:dyDescent="0.25">
      <c r="A31" s="23"/>
      <c r="B31" s="23"/>
      <c r="C31" s="273"/>
      <c r="D31" s="274"/>
      <c r="E31" s="274"/>
      <c r="F31" s="274"/>
      <c r="G31" s="274"/>
      <c r="H31" s="274"/>
      <c r="I31" s="274"/>
      <c r="J31" s="274"/>
      <c r="K31" s="274"/>
      <c r="L31" s="274"/>
      <c r="M31" s="274"/>
      <c r="N31" s="274"/>
      <c r="O31" s="274"/>
      <c r="P31" s="274"/>
      <c r="Q31" s="274"/>
      <c r="R31" s="274"/>
      <c r="S31" s="275"/>
      <c r="T31" s="121"/>
      <c r="U31" s="121"/>
      <c r="V31" s="121"/>
      <c r="W31" s="23"/>
      <c r="X31" s="23"/>
      <c r="Y31" s="23"/>
      <c r="Z31" s="173"/>
      <c r="AA31" s="178" t="s">
        <v>719</v>
      </c>
      <c r="AB31" s="179" t="str">
        <f>N5</f>
        <v>Aries</v>
      </c>
      <c r="AC31" s="174"/>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row>
    <row r="32" spans="1:56" s="68" customFormat="1" x14ac:dyDescent="0.25">
      <c r="A32" s="23"/>
      <c r="B32" s="23"/>
      <c r="C32" s="273"/>
      <c r="D32" s="274"/>
      <c r="E32" s="274"/>
      <c r="F32" s="274"/>
      <c r="G32" s="274"/>
      <c r="H32" s="274"/>
      <c r="I32" s="274"/>
      <c r="J32" s="274"/>
      <c r="K32" s="274"/>
      <c r="L32" s="274"/>
      <c r="M32" s="274"/>
      <c r="N32" s="274"/>
      <c r="O32" s="274"/>
      <c r="P32" s="274"/>
      <c r="Q32" s="274"/>
      <c r="R32" s="274"/>
      <c r="S32" s="275"/>
      <c r="T32" s="121"/>
      <c r="U32" s="121"/>
      <c r="V32" s="121"/>
      <c r="W32" s="23"/>
      <c r="X32" s="23"/>
      <c r="Y32" s="23"/>
      <c r="Z32" s="173"/>
      <c r="AA32" s="178" t="s">
        <v>717</v>
      </c>
      <c r="AB32" s="179" t="str">
        <f>P6</f>
        <v>Sagittarius</v>
      </c>
      <c r="AC32" s="174"/>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row>
    <row r="33" spans="1:56" s="68" customFormat="1" x14ac:dyDescent="0.25">
      <c r="A33" s="23"/>
      <c r="B33" s="23"/>
      <c r="C33" s="273"/>
      <c r="D33" s="274"/>
      <c r="E33" s="274"/>
      <c r="F33" s="274"/>
      <c r="G33" s="274"/>
      <c r="H33" s="274"/>
      <c r="I33" s="274"/>
      <c r="J33" s="274"/>
      <c r="K33" s="274"/>
      <c r="L33" s="274"/>
      <c r="M33" s="274"/>
      <c r="N33" s="274"/>
      <c r="O33" s="274"/>
      <c r="P33" s="274"/>
      <c r="Q33" s="274"/>
      <c r="R33" s="274"/>
      <c r="S33" s="275"/>
      <c r="T33" s="121"/>
      <c r="U33" s="121"/>
      <c r="V33" s="121"/>
      <c r="W33" s="23"/>
      <c r="X33" s="23"/>
      <c r="Y33" s="23"/>
      <c r="Z33" s="173"/>
      <c r="AA33" s="178" t="s">
        <v>718</v>
      </c>
      <c r="AB33" s="179" t="str">
        <f>R6</f>
        <v>Leo</v>
      </c>
      <c r="AC33" s="174"/>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row>
    <row r="34" spans="1:56" s="68" customFormat="1" ht="15.75" thickBot="1" x14ac:dyDescent="0.3">
      <c r="A34" s="23"/>
      <c r="B34" s="23"/>
      <c r="C34" s="273"/>
      <c r="D34" s="274"/>
      <c r="E34" s="274"/>
      <c r="F34" s="274"/>
      <c r="G34" s="274"/>
      <c r="H34" s="274"/>
      <c r="I34" s="274"/>
      <c r="J34" s="274"/>
      <c r="K34" s="274"/>
      <c r="L34" s="274"/>
      <c r="M34" s="274"/>
      <c r="N34" s="274"/>
      <c r="O34" s="274"/>
      <c r="P34" s="274"/>
      <c r="Q34" s="274"/>
      <c r="R34" s="274"/>
      <c r="S34" s="275"/>
      <c r="T34" s="121"/>
      <c r="U34" s="121"/>
      <c r="V34" s="121"/>
      <c r="W34" s="23"/>
      <c r="X34" s="23"/>
      <c r="Y34" s="23"/>
      <c r="Z34" s="173"/>
      <c r="AA34" s="178" t="s">
        <v>720</v>
      </c>
      <c r="AB34" s="179" t="str">
        <f>T5</f>
        <v>Sagittarius</v>
      </c>
      <c r="AC34" s="174"/>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row>
    <row r="35" spans="1:56" s="68" customFormat="1" x14ac:dyDescent="0.25">
      <c r="A35" s="23"/>
      <c r="B35" s="23"/>
      <c r="C35" s="273"/>
      <c r="D35" s="274"/>
      <c r="E35" s="274"/>
      <c r="F35" s="274"/>
      <c r="G35" s="274"/>
      <c r="H35" s="274"/>
      <c r="I35" s="274"/>
      <c r="J35" s="274"/>
      <c r="K35" s="274"/>
      <c r="L35" s="274"/>
      <c r="M35" s="274"/>
      <c r="N35" s="274"/>
      <c r="O35" s="274"/>
      <c r="P35" s="274"/>
      <c r="Q35" s="274"/>
      <c r="R35" s="274"/>
      <c r="S35" s="275"/>
      <c r="T35" s="121"/>
      <c r="U35" s="121"/>
      <c r="V35" s="121"/>
      <c r="W35" s="23"/>
      <c r="X35" s="23"/>
      <c r="Y35" s="23"/>
      <c r="Z35" s="252" t="s">
        <v>721</v>
      </c>
      <c r="AA35" s="180" t="s">
        <v>723</v>
      </c>
      <c r="AB35" s="179" t="str">
        <f>V6</f>
        <v>Sagittarius</v>
      </c>
      <c r="AC35" s="174"/>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row>
    <row r="36" spans="1:56" s="68" customFormat="1" ht="15.75" thickBot="1" x14ac:dyDescent="0.3">
      <c r="A36" s="23"/>
      <c r="B36" s="23"/>
      <c r="C36" s="273"/>
      <c r="D36" s="274"/>
      <c r="E36" s="274"/>
      <c r="F36" s="274"/>
      <c r="G36" s="274"/>
      <c r="H36" s="274"/>
      <c r="I36" s="274"/>
      <c r="J36" s="274"/>
      <c r="K36" s="274"/>
      <c r="L36" s="274"/>
      <c r="M36" s="274"/>
      <c r="N36" s="274"/>
      <c r="O36" s="274"/>
      <c r="P36" s="274"/>
      <c r="Q36" s="274"/>
      <c r="R36" s="274"/>
      <c r="S36" s="275"/>
      <c r="T36" s="121"/>
      <c r="U36" s="121"/>
      <c r="V36" s="121"/>
      <c r="W36" s="23"/>
      <c r="X36" s="23"/>
      <c r="Y36" s="23"/>
      <c r="Z36" s="253"/>
      <c r="AA36" s="180" t="s">
        <v>722</v>
      </c>
      <c r="AB36" s="179" t="str">
        <f>V7</f>
        <v>Leo</v>
      </c>
      <c r="AC36" s="174"/>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row>
    <row r="37" spans="1:56" s="68" customFormat="1" ht="15.75" thickBot="1" x14ac:dyDescent="0.3">
      <c r="A37" s="23"/>
      <c r="B37" s="23"/>
      <c r="C37" s="276"/>
      <c r="D37" s="277"/>
      <c r="E37" s="277"/>
      <c r="F37" s="277"/>
      <c r="G37" s="277"/>
      <c r="H37" s="277"/>
      <c r="I37" s="277"/>
      <c r="J37" s="277"/>
      <c r="K37" s="277"/>
      <c r="L37" s="277"/>
      <c r="M37" s="277"/>
      <c r="N37" s="277"/>
      <c r="O37" s="277"/>
      <c r="P37" s="277"/>
      <c r="Q37" s="277"/>
      <c r="R37" s="277"/>
      <c r="S37" s="278"/>
      <c r="T37" s="121"/>
      <c r="U37" s="121"/>
      <c r="V37" s="121"/>
      <c r="W37" s="23"/>
      <c r="X37" s="23"/>
      <c r="Y37" s="23"/>
      <c r="Z37" s="253" t="s">
        <v>724</v>
      </c>
      <c r="AA37" s="181" t="s">
        <v>723</v>
      </c>
      <c r="AB37" s="179">
        <f>W6</f>
        <v>0</v>
      </c>
      <c r="AC37" s="174"/>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row>
    <row r="38" spans="1:56" s="68" customFormat="1" ht="16.5" thickTop="1" thickBot="1" x14ac:dyDescent="0.3">
      <c r="A38" s="23"/>
      <c r="B38" s="23"/>
      <c r="C38" s="121"/>
      <c r="D38" s="121"/>
      <c r="E38" s="121"/>
      <c r="F38" s="121"/>
      <c r="G38" s="121"/>
      <c r="H38" s="121"/>
      <c r="I38" s="121"/>
      <c r="J38" s="121"/>
      <c r="K38" s="121"/>
      <c r="L38" s="121"/>
      <c r="M38" s="121"/>
      <c r="N38" s="121"/>
      <c r="O38" s="121"/>
      <c r="P38" s="121"/>
      <c r="Q38" s="121"/>
      <c r="R38" s="121"/>
      <c r="S38" s="121"/>
      <c r="T38" s="121"/>
      <c r="U38" s="121"/>
      <c r="V38" s="121"/>
      <c r="W38" s="23"/>
      <c r="X38" s="23"/>
      <c r="Y38" s="23"/>
      <c r="Z38" s="254"/>
      <c r="AA38" s="182" t="s">
        <v>722</v>
      </c>
      <c r="AB38" s="179">
        <f>W7</f>
        <v>0</v>
      </c>
      <c r="AC38" s="174"/>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row>
    <row r="39" spans="1:56" s="68" customFormat="1" ht="15.75" thickBot="1" x14ac:dyDescent="0.3">
      <c r="A39" s="23"/>
      <c r="B39" s="23"/>
      <c r="C39" s="121"/>
      <c r="D39" s="121"/>
      <c r="E39" s="121"/>
      <c r="F39" s="121"/>
      <c r="G39" s="121"/>
      <c r="H39" s="121"/>
      <c r="I39" s="121"/>
      <c r="J39" s="121"/>
      <c r="K39" s="121"/>
      <c r="L39" s="121"/>
      <c r="M39" s="121"/>
      <c r="N39" s="121"/>
      <c r="O39" s="121"/>
      <c r="P39" s="121"/>
      <c r="Q39" s="121"/>
      <c r="R39" s="121"/>
      <c r="S39" s="121"/>
      <c r="T39" s="121"/>
      <c r="U39" s="23"/>
      <c r="V39" s="23"/>
      <c r="W39" s="23"/>
      <c r="X39" s="23"/>
      <c r="Y39" s="23"/>
      <c r="Z39" s="175"/>
      <c r="AA39" s="176"/>
      <c r="AB39" s="176"/>
      <c r="AC39" s="177"/>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row>
    <row r="40" spans="1:56" s="68" customFormat="1" x14ac:dyDescent="0.25">
      <c r="A40" s="23"/>
      <c r="B40" s="23"/>
      <c r="C40" s="121"/>
      <c r="D40" s="121"/>
      <c r="E40" s="121"/>
      <c r="F40" s="121"/>
      <c r="G40" s="121"/>
      <c r="H40" s="121"/>
      <c r="I40" s="121"/>
      <c r="J40" s="121"/>
      <c r="K40" s="121"/>
      <c r="L40" s="121"/>
      <c r="M40" s="121"/>
      <c r="N40" s="121"/>
      <c r="O40" s="121"/>
      <c r="P40" s="121"/>
      <c r="Q40" s="121"/>
      <c r="R40" s="121"/>
      <c r="S40" s="121"/>
      <c r="T40" s="121"/>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row>
    <row r="41" spans="1:56" s="23" customFormat="1" x14ac:dyDescent="0.25"/>
    <row r="42" spans="1:56" s="23" customFormat="1" x14ac:dyDescent="0.25"/>
    <row r="43" spans="1:56" s="23" customFormat="1" x14ac:dyDescent="0.25"/>
    <row r="44" spans="1:56" s="23" customFormat="1" x14ac:dyDescent="0.25">
      <c r="D44" s="29"/>
    </row>
    <row r="45" spans="1:56" s="23" customFormat="1" x14ac:dyDescent="0.25">
      <c r="D45" s="27"/>
      <c r="E45" s="27"/>
    </row>
    <row r="46" spans="1:56" s="23" customFormat="1" x14ac:dyDescent="0.25">
      <c r="H46" s="161"/>
      <c r="I46" s="161"/>
      <c r="J46" s="161"/>
      <c r="K46" s="161"/>
      <c r="L46" s="161"/>
      <c r="M46" s="161"/>
      <c r="N46" s="161"/>
      <c r="O46" s="161"/>
      <c r="P46" s="161"/>
      <c r="Q46" s="161"/>
      <c r="R46" s="161"/>
      <c r="S46" s="161"/>
      <c r="T46" s="161"/>
      <c r="U46" s="161"/>
      <c r="V46" s="161"/>
      <c r="W46" s="161"/>
      <c r="X46" s="161"/>
      <c r="Y46" s="161"/>
      <c r="Z46" s="161"/>
      <c r="AA46" s="161"/>
    </row>
    <row r="47" spans="1:56" s="23" customFormat="1" x14ac:dyDescent="0.25">
      <c r="H47" s="161"/>
      <c r="I47" s="161"/>
      <c r="J47" s="161"/>
      <c r="K47" s="161"/>
      <c r="L47" s="161"/>
      <c r="M47" s="161"/>
      <c r="N47" s="161"/>
      <c r="O47" s="161"/>
      <c r="P47" s="161"/>
      <c r="Q47" s="161"/>
      <c r="R47" s="161"/>
      <c r="S47" s="161"/>
      <c r="T47" s="161"/>
      <c r="U47" s="161"/>
      <c r="V47" s="161"/>
      <c r="W47" s="161"/>
      <c r="X47" s="161"/>
      <c r="Y47" s="161"/>
      <c r="Z47" s="161"/>
      <c r="AA47" s="161"/>
    </row>
    <row r="48" spans="1:56" s="23" customFormat="1" x14ac:dyDescent="0.25">
      <c r="C48" s="27"/>
      <c r="D48" s="27"/>
      <c r="E48" s="27"/>
      <c r="F48" s="27"/>
      <c r="G48" s="27"/>
      <c r="H48" s="162" t="s">
        <v>713</v>
      </c>
      <c r="I48" s="279" t="s">
        <v>139</v>
      </c>
      <c r="J48" s="304"/>
      <c r="K48" s="162" t="s">
        <v>696</v>
      </c>
      <c r="L48" s="279" t="s">
        <v>138</v>
      </c>
      <c r="M48" s="279"/>
      <c r="N48" s="279"/>
      <c r="O48" s="162"/>
      <c r="P48" s="162" t="s">
        <v>713</v>
      </c>
      <c r="Q48" s="280" t="s">
        <v>138</v>
      </c>
      <c r="R48" s="280"/>
      <c r="S48" s="162" t="s">
        <v>714</v>
      </c>
      <c r="T48" s="279" t="s">
        <v>139</v>
      </c>
      <c r="U48" s="279"/>
      <c r="V48" s="279"/>
      <c r="W48" s="279" t="s">
        <v>715</v>
      </c>
      <c r="X48" s="279"/>
      <c r="Y48" s="279" t="s">
        <v>138</v>
      </c>
      <c r="Z48" s="279"/>
      <c r="AA48" s="161"/>
    </row>
    <row r="49" spans="2:27" s="23" customFormat="1" ht="14.25" customHeight="1" thickBot="1" x14ac:dyDescent="0.3"/>
    <row r="50" spans="2:27" s="23" customFormat="1" ht="23.25" customHeight="1" thickBot="1" x14ac:dyDescent="0.3">
      <c r="B50" s="133"/>
      <c r="C50" s="130"/>
      <c r="D50" s="130"/>
      <c r="E50" s="130"/>
      <c r="F50" s="130"/>
      <c r="G50" s="130"/>
      <c r="H50" s="130"/>
      <c r="I50" s="130"/>
      <c r="J50" s="130"/>
      <c r="K50" s="130"/>
      <c r="L50" s="130"/>
      <c r="M50" s="130"/>
      <c r="N50" s="130"/>
      <c r="O50" s="130"/>
      <c r="P50" s="130"/>
      <c r="Q50" s="130"/>
      <c r="R50" s="130"/>
      <c r="S50" s="130"/>
      <c r="T50" s="131"/>
      <c r="U50" s="131"/>
      <c r="V50" s="131"/>
      <c r="W50" s="131"/>
      <c r="X50" s="131"/>
      <c r="Y50" s="131"/>
      <c r="Z50" s="131"/>
      <c r="AA50" s="132"/>
    </row>
    <row r="51" spans="2:27" s="23" customFormat="1" ht="25.5" customHeight="1" thickTop="1" x14ac:dyDescent="0.25">
      <c r="B51" s="134"/>
      <c r="C51" s="288" t="s">
        <v>133</v>
      </c>
      <c r="D51" s="289"/>
      <c r="E51" s="145"/>
      <c r="F51" s="288" t="s">
        <v>153</v>
      </c>
      <c r="G51" s="289"/>
      <c r="H51" s="145"/>
      <c r="I51" s="288" t="s">
        <v>60</v>
      </c>
      <c r="J51" s="289"/>
      <c r="K51" s="145"/>
      <c r="L51" s="288" t="s">
        <v>153</v>
      </c>
      <c r="M51" s="290"/>
      <c r="N51" s="289"/>
      <c r="O51" s="145"/>
      <c r="P51" s="145"/>
      <c r="Q51" s="288" t="s">
        <v>60</v>
      </c>
      <c r="R51" s="289"/>
      <c r="S51" s="142"/>
      <c r="T51" s="288" t="s">
        <v>153</v>
      </c>
      <c r="U51" s="290"/>
      <c r="V51" s="289"/>
      <c r="W51" s="143"/>
      <c r="X51" s="143"/>
      <c r="Y51" s="288" t="s">
        <v>60</v>
      </c>
      <c r="Z51" s="289"/>
      <c r="AA51" s="144"/>
    </row>
    <row r="52" spans="2:27" s="23" customFormat="1" ht="26.25" customHeight="1" thickBot="1" x14ac:dyDescent="0.3">
      <c r="B52" s="134"/>
      <c r="C52" s="283" t="str">
        <f>L5</f>
        <v>SUN</v>
      </c>
      <c r="D52" s="284"/>
      <c r="E52" s="140"/>
      <c r="F52" s="283" t="str">
        <f>V6</f>
        <v>Sagittarius</v>
      </c>
      <c r="G52" s="284"/>
      <c r="H52" s="140"/>
      <c r="I52" s="283" t="str">
        <f>V7</f>
        <v>Leo</v>
      </c>
      <c r="J52" s="284"/>
      <c r="K52" s="140"/>
      <c r="L52" s="285">
        <f>W6</f>
        <v>0</v>
      </c>
      <c r="M52" s="286"/>
      <c r="N52" s="287"/>
      <c r="O52" s="146"/>
      <c r="P52" s="146"/>
      <c r="Q52" s="285">
        <f>W7</f>
        <v>0</v>
      </c>
      <c r="R52" s="287"/>
      <c r="S52" s="142"/>
      <c r="T52" s="285" t="str">
        <f>N5</f>
        <v>Aries</v>
      </c>
      <c r="U52" s="286"/>
      <c r="V52" s="287"/>
      <c r="W52" s="143"/>
      <c r="X52" s="143"/>
      <c r="Y52" s="285" t="str">
        <f>T5</f>
        <v>Sagittarius</v>
      </c>
      <c r="Z52" s="287"/>
      <c r="AA52" s="144"/>
    </row>
    <row r="53" spans="2:27" s="23" customFormat="1" ht="17.25" customHeight="1" thickTop="1" x14ac:dyDescent="0.25">
      <c r="B53" s="134"/>
      <c r="C53" s="140"/>
      <c r="D53" s="140"/>
      <c r="E53" s="140"/>
      <c r="F53" s="140"/>
      <c r="G53" s="140"/>
      <c r="H53" s="140"/>
      <c r="I53" s="140"/>
      <c r="J53" s="140"/>
      <c r="K53" s="140"/>
      <c r="L53" s="141"/>
      <c r="M53" s="141"/>
      <c r="N53" s="141"/>
      <c r="O53" s="141"/>
      <c r="P53" s="141"/>
      <c r="Q53" s="141"/>
      <c r="R53" s="141"/>
      <c r="S53" s="142"/>
      <c r="T53" s="143"/>
      <c r="U53" s="143"/>
      <c r="V53" s="143"/>
      <c r="W53" s="143"/>
      <c r="X53" s="143"/>
      <c r="Y53" s="143"/>
      <c r="Z53" s="143"/>
      <c r="AA53" s="144"/>
    </row>
    <row r="54" spans="2:27" s="23" customFormat="1" ht="30.75" customHeight="1" x14ac:dyDescent="0.25">
      <c r="B54" s="135"/>
      <c r="C54" s="281" t="s">
        <v>239</v>
      </c>
      <c r="D54" s="282"/>
      <c r="E54" s="76" t="s">
        <v>148</v>
      </c>
      <c r="F54" s="282" t="s">
        <v>434</v>
      </c>
      <c r="G54" s="282"/>
      <c r="H54" s="76" t="s">
        <v>150</v>
      </c>
      <c r="I54" s="282" t="s">
        <v>238</v>
      </c>
      <c r="J54" s="282"/>
      <c r="K54" s="76" t="s">
        <v>141</v>
      </c>
      <c r="L54" s="282" t="s">
        <v>556</v>
      </c>
      <c r="M54" s="282"/>
      <c r="N54" s="282"/>
      <c r="O54" s="306" t="s">
        <v>150</v>
      </c>
      <c r="P54" s="306"/>
      <c r="Q54" s="282" t="s">
        <v>368</v>
      </c>
      <c r="R54" s="282"/>
      <c r="S54" s="76" t="s">
        <v>152</v>
      </c>
      <c r="T54" s="305" t="s">
        <v>654</v>
      </c>
      <c r="U54" s="305"/>
      <c r="V54" s="305"/>
      <c r="W54" s="306" t="s">
        <v>154</v>
      </c>
      <c r="X54" s="306"/>
      <c r="Y54" s="305" t="s">
        <v>452</v>
      </c>
      <c r="Z54" s="307"/>
      <c r="AA54" s="144"/>
    </row>
    <row r="55" spans="2:27" s="23" customFormat="1" ht="18" customHeight="1" thickBot="1" x14ac:dyDescent="0.3">
      <c r="B55" s="136"/>
      <c r="C55" s="137"/>
      <c r="D55" s="137"/>
      <c r="E55" s="137"/>
      <c r="F55" s="137"/>
      <c r="G55" s="137"/>
      <c r="H55" s="137"/>
      <c r="I55" s="137"/>
      <c r="J55" s="137"/>
      <c r="K55" s="137"/>
      <c r="L55" s="138"/>
      <c r="M55" s="138"/>
      <c r="N55" s="138"/>
      <c r="O55" s="138"/>
      <c r="P55" s="138"/>
      <c r="Q55" s="138"/>
      <c r="R55" s="138"/>
      <c r="S55" s="138"/>
      <c r="T55" s="138"/>
      <c r="U55" s="138"/>
      <c r="V55" s="138"/>
      <c r="W55" s="138"/>
      <c r="X55" s="138"/>
      <c r="Y55" s="138"/>
      <c r="Z55" s="138"/>
      <c r="AA55" s="139"/>
    </row>
    <row r="56" spans="2:27" s="23" customFormat="1" x14ac:dyDescent="0.25"/>
    <row r="57" spans="2:27" s="23" customFormat="1" ht="25.5" customHeight="1" x14ac:dyDescent="0.25">
      <c r="C57" s="264" t="s">
        <v>63</v>
      </c>
      <c r="D57" s="265"/>
      <c r="E57" s="111"/>
      <c r="F57" s="111"/>
    </row>
    <row r="58" spans="2:27" s="23" customFormat="1" ht="25.5" customHeight="1" x14ac:dyDescent="0.25">
      <c r="C58" s="266" t="str">
        <f>P6</f>
        <v>Sagittarius</v>
      </c>
      <c r="D58" s="267"/>
      <c r="E58" s="268"/>
      <c r="F58" s="269"/>
      <c r="I58" s="246"/>
      <c r="J58" s="247"/>
      <c r="K58" s="247"/>
      <c r="L58" s="247"/>
      <c r="M58" s="247"/>
      <c r="N58" s="247"/>
      <c r="O58" s="247"/>
      <c r="P58" s="247"/>
      <c r="Q58" s="247"/>
      <c r="R58" s="247"/>
      <c r="S58" s="247"/>
      <c r="T58" s="247"/>
      <c r="U58" s="247"/>
      <c r="V58" s="248"/>
    </row>
    <row r="59" spans="2:27" s="23" customFormat="1" ht="25.5" customHeight="1" x14ac:dyDescent="0.25">
      <c r="C59" s="111"/>
      <c r="D59" s="111"/>
      <c r="E59" s="112"/>
      <c r="F59" s="112"/>
      <c r="I59" s="249"/>
      <c r="J59" s="250"/>
      <c r="K59" s="250"/>
      <c r="L59" s="250"/>
      <c r="M59" s="250"/>
      <c r="N59" s="250"/>
      <c r="O59" s="250"/>
      <c r="P59" s="250"/>
      <c r="Q59" s="250"/>
      <c r="R59" s="250"/>
      <c r="S59" s="250"/>
      <c r="T59" s="250"/>
      <c r="U59" s="250"/>
      <c r="V59" s="251"/>
    </row>
    <row r="60" spans="2:27" s="23" customFormat="1" ht="25.5" customHeight="1" x14ac:dyDescent="0.25">
      <c r="C60" s="264" t="s">
        <v>704</v>
      </c>
      <c r="D60" s="265"/>
      <c r="E60" s="112"/>
      <c r="F60" s="112"/>
    </row>
    <row r="61" spans="2:27" s="23" customFormat="1" ht="25.5" customHeight="1" x14ac:dyDescent="0.25">
      <c r="C61" s="266" t="str">
        <f>R6</f>
        <v>Leo</v>
      </c>
      <c r="D61" s="267"/>
      <c r="E61" s="268"/>
      <c r="F61" s="269"/>
    </row>
    <row r="62" spans="2:27" s="23" customFormat="1" x14ac:dyDescent="0.25">
      <c r="I62" s="237"/>
      <c r="J62" s="238"/>
      <c r="K62" s="238"/>
      <c r="L62" s="238"/>
      <c r="M62" s="238"/>
      <c r="N62" s="238"/>
      <c r="O62" s="238"/>
      <c r="P62" s="238"/>
      <c r="Q62" s="238"/>
      <c r="R62" s="238"/>
      <c r="S62" s="238"/>
      <c r="T62" s="238"/>
      <c r="U62" s="238"/>
      <c r="V62" s="239"/>
    </row>
    <row r="63" spans="2:27" s="23" customFormat="1" x14ac:dyDescent="0.25">
      <c r="I63" s="240"/>
      <c r="J63" s="241"/>
      <c r="K63" s="241"/>
      <c r="L63" s="241"/>
      <c r="M63" s="241"/>
      <c r="N63" s="241"/>
      <c r="O63" s="241"/>
      <c r="P63" s="241"/>
      <c r="Q63" s="241"/>
      <c r="R63" s="241"/>
      <c r="S63" s="241"/>
      <c r="T63" s="241"/>
      <c r="U63" s="241"/>
      <c r="V63" s="242"/>
    </row>
    <row r="64" spans="2:27" s="23" customFormat="1" x14ac:dyDescent="0.25">
      <c r="I64" s="240"/>
      <c r="J64" s="241"/>
      <c r="K64" s="241"/>
      <c r="L64" s="241"/>
      <c r="M64" s="241"/>
      <c r="N64" s="241"/>
      <c r="O64" s="241"/>
      <c r="P64" s="241"/>
      <c r="Q64" s="241"/>
      <c r="R64" s="241"/>
      <c r="S64" s="241"/>
      <c r="T64" s="241"/>
      <c r="U64" s="241"/>
      <c r="V64" s="242"/>
    </row>
    <row r="65" spans="9:22" s="23" customFormat="1" x14ac:dyDescent="0.25">
      <c r="I65" s="240"/>
      <c r="J65" s="241"/>
      <c r="K65" s="241"/>
      <c r="L65" s="241"/>
      <c r="M65" s="241"/>
      <c r="N65" s="241"/>
      <c r="O65" s="241"/>
      <c r="P65" s="241"/>
      <c r="Q65" s="241"/>
      <c r="R65" s="241"/>
      <c r="S65" s="241"/>
      <c r="T65" s="241"/>
      <c r="U65" s="241"/>
      <c r="V65" s="242"/>
    </row>
    <row r="66" spans="9:22" s="23" customFormat="1" x14ac:dyDescent="0.25">
      <c r="I66" s="240"/>
      <c r="J66" s="241"/>
      <c r="K66" s="241"/>
      <c r="L66" s="241"/>
      <c r="M66" s="241"/>
      <c r="N66" s="241"/>
      <c r="O66" s="241"/>
      <c r="P66" s="241"/>
      <c r="Q66" s="241"/>
      <c r="R66" s="241"/>
      <c r="S66" s="241"/>
      <c r="T66" s="241"/>
      <c r="U66" s="241"/>
      <c r="V66" s="242"/>
    </row>
    <row r="67" spans="9:22" s="23" customFormat="1" x14ac:dyDescent="0.25">
      <c r="I67" s="240"/>
      <c r="J67" s="241"/>
      <c r="K67" s="241"/>
      <c r="L67" s="241"/>
      <c r="M67" s="241"/>
      <c r="N67" s="241"/>
      <c r="O67" s="241"/>
      <c r="P67" s="241"/>
      <c r="Q67" s="241"/>
      <c r="R67" s="241"/>
      <c r="S67" s="241"/>
      <c r="T67" s="241"/>
      <c r="U67" s="241"/>
      <c r="V67" s="242"/>
    </row>
    <row r="68" spans="9:22" s="23" customFormat="1" x14ac:dyDescent="0.25">
      <c r="I68" s="240"/>
      <c r="J68" s="241"/>
      <c r="K68" s="241"/>
      <c r="L68" s="241"/>
      <c r="M68" s="241"/>
      <c r="N68" s="241"/>
      <c r="O68" s="241"/>
      <c r="P68" s="241"/>
      <c r="Q68" s="241"/>
      <c r="R68" s="241"/>
      <c r="S68" s="241"/>
      <c r="T68" s="241"/>
      <c r="U68" s="241"/>
      <c r="V68" s="242"/>
    </row>
    <row r="69" spans="9:22" s="23" customFormat="1" x14ac:dyDescent="0.25">
      <c r="I69" s="243"/>
      <c r="J69" s="244"/>
      <c r="K69" s="244"/>
      <c r="L69" s="244"/>
      <c r="M69" s="244"/>
      <c r="N69" s="244"/>
      <c r="O69" s="244"/>
      <c r="P69" s="244"/>
      <c r="Q69" s="244"/>
      <c r="R69" s="244"/>
      <c r="S69" s="244"/>
      <c r="T69" s="244"/>
      <c r="U69" s="244"/>
      <c r="V69" s="245"/>
    </row>
    <row r="70" spans="9:22" s="23" customFormat="1" x14ac:dyDescent="0.25"/>
    <row r="71" spans="9:22" s="23" customFormat="1" x14ac:dyDescent="0.25"/>
    <row r="72" spans="9:22" s="23" customFormat="1" x14ac:dyDescent="0.25"/>
    <row r="73" spans="9:22" s="23" customFormat="1" x14ac:dyDescent="0.25"/>
    <row r="74" spans="9:22" s="23" customFormat="1" x14ac:dyDescent="0.25"/>
    <row r="75" spans="9:22" s="23" customFormat="1" x14ac:dyDescent="0.25"/>
    <row r="76" spans="9:22" s="23" customFormat="1" x14ac:dyDescent="0.25"/>
    <row r="77" spans="9:22" s="23" customFormat="1" x14ac:dyDescent="0.25"/>
    <row r="78" spans="9:22" s="23" customFormat="1" x14ac:dyDescent="0.25"/>
    <row r="79" spans="9:22" s="23" customFormat="1" x14ac:dyDescent="0.25"/>
    <row r="80" spans="9:22" s="23" customFormat="1" x14ac:dyDescent="0.25"/>
  </sheetData>
  <mergeCells count="67">
    <mergeCell ref="C19:D19"/>
    <mergeCell ref="E19:F19"/>
    <mergeCell ref="C22:D22"/>
    <mergeCell ref="E22:F22"/>
    <mergeCell ref="C18:D18"/>
    <mergeCell ref="C21:D21"/>
    <mergeCell ref="O15:P15"/>
    <mergeCell ref="Q12:R12"/>
    <mergeCell ref="Q13:R13"/>
    <mergeCell ref="Q15:R15"/>
    <mergeCell ref="I12:J12"/>
    <mergeCell ref="I13:J13"/>
    <mergeCell ref="I15:J15"/>
    <mergeCell ref="L13:N13"/>
    <mergeCell ref="L12:N12"/>
    <mergeCell ref="L15:N15"/>
    <mergeCell ref="C12:D12"/>
    <mergeCell ref="C13:D13"/>
    <mergeCell ref="C15:D15"/>
    <mergeCell ref="F12:G12"/>
    <mergeCell ref="F13:G13"/>
    <mergeCell ref="F15:G15"/>
    <mergeCell ref="AV3:AW3"/>
    <mergeCell ref="I19:S21"/>
    <mergeCell ref="I22:S23"/>
    <mergeCell ref="Q54:R54"/>
    <mergeCell ref="I48:J48"/>
    <mergeCell ref="T51:V51"/>
    <mergeCell ref="T52:V52"/>
    <mergeCell ref="Y51:Z51"/>
    <mergeCell ref="Y52:Z52"/>
    <mergeCell ref="T54:V54"/>
    <mergeCell ref="W54:X54"/>
    <mergeCell ref="Y54:Z54"/>
    <mergeCell ref="I54:J54"/>
    <mergeCell ref="L54:N54"/>
    <mergeCell ref="O54:P54"/>
    <mergeCell ref="I52:J52"/>
    <mergeCell ref="C61:D61"/>
    <mergeCell ref="E61:F61"/>
    <mergeCell ref="T48:V48"/>
    <mergeCell ref="Y48:Z48"/>
    <mergeCell ref="W48:X48"/>
    <mergeCell ref="C54:D54"/>
    <mergeCell ref="F54:G54"/>
    <mergeCell ref="C52:D52"/>
    <mergeCell ref="F52:G52"/>
    <mergeCell ref="L52:N52"/>
    <mergeCell ref="Q52:R52"/>
    <mergeCell ref="C51:D51"/>
    <mergeCell ref="F51:G51"/>
    <mergeCell ref="I51:J51"/>
    <mergeCell ref="L51:N51"/>
    <mergeCell ref="Q51:R51"/>
    <mergeCell ref="Z25:AK25"/>
    <mergeCell ref="C57:D57"/>
    <mergeCell ref="C58:D58"/>
    <mergeCell ref="E58:F58"/>
    <mergeCell ref="C60:D60"/>
    <mergeCell ref="C27:S37"/>
    <mergeCell ref="L48:N48"/>
    <mergeCell ref="Q48:R48"/>
    <mergeCell ref="I62:V69"/>
    <mergeCell ref="I58:V59"/>
    <mergeCell ref="Z35:Z36"/>
    <mergeCell ref="Z37:Z38"/>
    <mergeCell ref="Z26:AK27"/>
  </mergeCells>
  <dataValidations count="7">
    <dataValidation type="list" allowBlank="1" showInputMessage="1" showErrorMessage="1" sqref="G5" xr:uid="{9DBD46C4-CA28-418D-B04A-8C9602032804}">
      <formula1>DD_degree_dd</formula1>
    </dataValidation>
    <dataValidation type="list" allowBlank="1" showInputMessage="1" showErrorMessage="1" sqref="I5 E5" xr:uid="{09EE3378-1A67-493B-8029-3E71123C2BBA}">
      <formula1>DD_sign_dd</formula1>
    </dataValidation>
    <dataValidation type="list" allowBlank="1" showInputMessage="1" showErrorMessage="1" sqref="C5" xr:uid="{80CA9E6F-D0D5-4499-AB0D-6BAEE0C97D92}">
      <formula1>DD_TruePlacement1_ddown</formula1>
    </dataValidation>
    <dataValidation type="list" allowBlank="1" showInputMessage="1" showErrorMessage="1" sqref="L13:N13 E16 G16 I16 Q13:R13 I13:J13 F13:G13 I52:J52 C19:D19 C22:D22 L52:N52 E55 G55 I55 Q52:R52 F52:G52 Y52:Z52 K55 T52:V52 C58:D58 C61:D61" xr:uid="{2E714266-6BE8-4854-B17E-6AD1729585EF}">
      <formula1>SIGN</formula1>
    </dataValidation>
    <dataValidation type="list" allowBlank="1" showInputMessage="1" showErrorMessage="1" sqref="L15:N15 Q15:R15 C15:D15 F15:G15 I15:J15 L54:N54 Q54:R54 C54:D54 F54:G54 I54:J54 T54:V54 Y54:Z54" xr:uid="{9FB160B0-36B1-4A13-94B0-C7B6C327981E}">
      <formula1>INDIRECT(C13)</formula1>
    </dataValidation>
    <dataValidation type="list" allowBlank="1" showInputMessage="1" showErrorMessage="1" sqref="C13:D13 C16 C52:D52 C55" xr:uid="{C75B759D-E174-4EFE-AAC5-1AF413E084BA}">
      <formula1>Planet</formula1>
    </dataValidation>
    <dataValidation type="list" allowBlank="1" showInputMessage="1" showErrorMessage="1" sqref="E19:F19 E22:F22 E58:F58 E61:F61" xr:uid="{17AC6900-A3ED-4DF5-BF02-5F5F082D42D7}">
      <formula1>INDIRECT(C19)</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F3789-7735-434A-B018-B23B59FE1863}">
  <dimension ref="A1:BD85"/>
  <sheetViews>
    <sheetView workbookViewId="0">
      <selection activeCell="H23" sqref="H23"/>
    </sheetView>
  </sheetViews>
  <sheetFormatPr defaultRowHeight="15" x14ac:dyDescent="0.25"/>
  <cols>
    <col min="1" max="1" width="2.5703125" customWidth="1"/>
    <col min="2" max="2" width="10.85546875" customWidth="1"/>
    <col min="3" max="3" width="12.5703125" customWidth="1"/>
    <col min="4" max="4" width="10" customWidth="1"/>
    <col min="5" max="5" width="13.42578125" customWidth="1"/>
    <col min="6" max="6" width="10.28515625" customWidth="1"/>
    <col min="7" max="8" width="10.42578125" customWidth="1"/>
    <col min="9" max="9" width="13.42578125" customWidth="1"/>
    <col min="11" max="11" width="13.140625" customWidth="1"/>
    <col min="12" max="12" width="10.42578125" customWidth="1"/>
    <col min="13" max="13" width="4.42578125" customWidth="1"/>
    <col min="14" max="14" width="11" customWidth="1"/>
    <col min="15" max="15" width="4.85546875" customWidth="1"/>
    <col min="16" max="16" width="15" customWidth="1"/>
    <col min="17" max="17" width="5.42578125" customWidth="1"/>
    <col min="18" max="18" width="18.28515625" customWidth="1"/>
    <col min="19" max="19" width="18.42578125" customWidth="1"/>
    <col min="20" max="20" width="11.140625" customWidth="1"/>
    <col min="21" max="21" width="8.28515625" customWidth="1"/>
    <col min="22" max="22" width="10.5703125" customWidth="1"/>
    <col min="23" max="23" width="16.28515625" customWidth="1"/>
    <col min="25" max="25" width="11.42578125" customWidth="1"/>
    <col min="26" max="26" width="10" customWidth="1"/>
    <col min="27" max="27" width="13.28515625" customWidth="1"/>
    <col min="28" max="28" width="23.28515625" customWidth="1"/>
    <col min="32" max="32" width="15.28515625" customWidth="1"/>
    <col min="33" max="33" width="19.5703125" customWidth="1"/>
  </cols>
  <sheetData>
    <row r="1" spans="1:51" s="94" customFormat="1" x14ac:dyDescent="0.25">
      <c r="K1" s="101"/>
      <c r="L1" s="101"/>
      <c r="M1" s="101"/>
      <c r="N1" s="101"/>
      <c r="O1" s="101"/>
      <c r="P1" s="101"/>
      <c r="Q1" s="101"/>
      <c r="R1" s="101"/>
      <c r="S1" s="101"/>
      <c r="T1" s="101"/>
      <c r="U1" s="101"/>
      <c r="V1" s="101"/>
      <c r="W1" s="101"/>
      <c r="X1" s="101"/>
      <c r="Y1" s="95"/>
    </row>
    <row r="2" spans="1:51" s="94" customFormat="1" x14ac:dyDescent="0.25">
      <c r="K2" s="101"/>
      <c r="L2" s="102" t="s">
        <v>30</v>
      </c>
      <c r="M2" s="103" t="s">
        <v>137</v>
      </c>
      <c r="N2" s="104" t="s">
        <v>23</v>
      </c>
      <c r="O2" s="103" t="s">
        <v>703</v>
      </c>
      <c r="P2" s="104" t="s">
        <v>709</v>
      </c>
      <c r="Q2" s="103" t="s">
        <v>703</v>
      </c>
      <c r="R2" s="104" t="s">
        <v>705</v>
      </c>
      <c r="S2" s="104" t="s">
        <v>90</v>
      </c>
      <c r="T2" s="102" t="s">
        <v>23</v>
      </c>
      <c r="U2" s="103" t="s">
        <v>701</v>
      </c>
      <c r="V2" s="104" t="s">
        <v>23</v>
      </c>
      <c r="W2" s="104" t="s">
        <v>706</v>
      </c>
      <c r="X2" s="103" t="s">
        <v>702</v>
      </c>
      <c r="Y2" s="95"/>
      <c r="AE2" s="128"/>
      <c r="AH2" s="111"/>
      <c r="AI2" s="198"/>
      <c r="AJ2" s="111"/>
      <c r="AK2" s="111"/>
      <c r="AL2" s="111"/>
      <c r="AM2" s="111"/>
      <c r="AN2" s="111"/>
      <c r="AO2" s="111"/>
      <c r="AP2" s="111"/>
      <c r="AQ2" s="111"/>
      <c r="AR2" s="111"/>
      <c r="AS2" s="111"/>
      <c r="AT2" s="111"/>
      <c r="AU2" s="111"/>
      <c r="AV2" s="187"/>
      <c r="AW2" s="187"/>
      <c r="AX2" s="111"/>
    </row>
    <row r="3" spans="1:51" s="94" customFormat="1" ht="15.75" customHeight="1" x14ac:dyDescent="0.3">
      <c r="K3" s="101"/>
      <c r="L3" s="105" t="s">
        <v>133</v>
      </c>
      <c r="M3" s="106"/>
      <c r="N3" s="105" t="s">
        <v>153</v>
      </c>
      <c r="O3" s="106"/>
      <c r="P3" s="105" t="s">
        <v>63</v>
      </c>
      <c r="Q3" s="105"/>
      <c r="R3" s="105" t="s">
        <v>704</v>
      </c>
      <c r="S3" s="106"/>
      <c r="T3" s="105" t="s">
        <v>60</v>
      </c>
      <c r="U3" s="106"/>
      <c r="V3" s="105" t="s">
        <v>153</v>
      </c>
      <c r="W3" s="105"/>
      <c r="X3" s="106"/>
      <c r="Y3" s="95"/>
      <c r="AH3" s="199"/>
      <c r="AI3" s="111"/>
      <c r="AJ3" s="200"/>
      <c r="AK3" s="27"/>
      <c r="AL3" s="27"/>
      <c r="AM3" s="200"/>
      <c r="AN3" s="27"/>
      <c r="AO3" s="200"/>
      <c r="AP3" s="27"/>
      <c r="AQ3" s="201"/>
      <c r="AR3" s="202"/>
      <c r="AS3" s="27"/>
      <c r="AT3" s="111"/>
      <c r="AU3" s="111"/>
      <c r="AV3" s="320"/>
      <c r="AW3" s="320"/>
      <c r="AX3" s="111"/>
    </row>
    <row r="4" spans="1:51" s="94" customFormat="1" ht="8.25" customHeight="1" thickBot="1" x14ac:dyDescent="0.3">
      <c r="K4" s="101"/>
      <c r="N4" s="164"/>
      <c r="O4" s="164"/>
      <c r="P4" s="164"/>
      <c r="Q4" s="164"/>
      <c r="R4" s="164"/>
      <c r="S4" s="164"/>
      <c r="T4" s="164"/>
      <c r="U4" s="164"/>
      <c r="V4" s="164"/>
      <c r="W4" s="164"/>
      <c r="X4" s="164"/>
      <c r="Y4" s="95"/>
      <c r="AH4" s="111"/>
      <c r="AI4" s="111"/>
      <c r="AJ4" s="111"/>
      <c r="AK4" s="111"/>
      <c r="AL4" s="111"/>
      <c r="AM4" s="111"/>
      <c r="AN4" s="111"/>
      <c r="AO4" s="111"/>
      <c r="AP4" s="111"/>
      <c r="AQ4" s="111"/>
      <c r="AR4" s="111"/>
      <c r="AS4" s="111"/>
      <c r="AT4" s="111"/>
      <c r="AU4" s="111"/>
      <c r="AV4" s="111"/>
      <c r="AW4" s="111"/>
      <c r="AX4" s="111"/>
    </row>
    <row r="5" spans="1:51" s="74" customFormat="1" ht="23.25" customHeight="1" thickBot="1" x14ac:dyDescent="0.3">
      <c r="A5" s="97"/>
      <c r="B5" s="98" t="s">
        <v>698</v>
      </c>
      <c r="C5" s="184" t="s">
        <v>28</v>
      </c>
      <c r="D5" s="98" t="s">
        <v>697</v>
      </c>
      <c r="E5" s="184" t="s">
        <v>23</v>
      </c>
      <c r="F5" s="98" t="s">
        <v>699</v>
      </c>
      <c r="G5" s="184" t="s">
        <v>49</v>
      </c>
      <c r="H5" s="98" t="s">
        <v>700</v>
      </c>
      <c r="I5" s="184" t="s">
        <v>23</v>
      </c>
      <c r="J5" s="97"/>
      <c r="K5" s="97"/>
      <c r="L5" s="193" t="str">
        <f>C5</f>
        <v>URANUS</v>
      </c>
      <c r="M5" s="124" t="s">
        <v>137</v>
      </c>
      <c r="N5" s="125" t="str">
        <f>IFERROR(VLOOKUP(C5&amp;"-"&amp;E5&amp;"-"&amp;I5, TruePlacement_DataBase1[[#All],[Helper]:[Sign6]], 3, 0), "")</f>
        <v>Aries</v>
      </c>
      <c r="O5" s="124" t="s">
        <v>703</v>
      </c>
      <c r="P5" s="125" t="str">
        <f>IFERROR(VLOOKUP(G5&amp;"-"&amp;E5, Degree_Spark_DataBase[[Helper]:[Decan Planets]], 2, 0)&amp;" spark","")</f>
        <v>Libra spark</v>
      </c>
      <c r="Q5" s="124" t="s">
        <v>703</v>
      </c>
      <c r="R5" s="125" t="str">
        <f>IFERROR(VLOOKUP(G5&amp;"-"&amp;E5, Degree_Spark_DataBase[[Helper]:[Decan Planets]], 3, 0)&amp;" decan","Not Found")</f>
        <v>Aries decan</v>
      </c>
      <c r="S5" s="124" t="s">
        <v>90</v>
      </c>
      <c r="T5" s="125" t="str">
        <f>IFERROR(VLOOKUP(C5&amp;"-"&amp;E5&amp;"-"&amp;I5, TruePlacement_DataBase1[[Helper]:[Sign3]], 4,FALSE), "")</f>
        <v>Sagittarius</v>
      </c>
      <c r="U5" s="124" t="s">
        <v>701</v>
      </c>
      <c r="V5" s="125" t="str">
        <f>IFERROR(VLOOKUP(C5&amp;"-"&amp;E5&amp;"-"&amp;I5, TruePlacement_DataBase1[[Helper]:[Sign3]], 6,FALSE), "")</f>
        <v>Gemini</v>
      </c>
      <c r="W5" s="125" t="str">
        <f>IFERROR("and  "&amp;VLOOKUP(C5&amp;"-"&amp;E5&amp;"-"&amp;I5, TruePlacement_DataBase1[[Helper]:[Sign6]], 9,FALSE), "")</f>
        <v xml:space="preserve">and  </v>
      </c>
      <c r="X5" s="127" t="s">
        <v>702</v>
      </c>
      <c r="Y5" s="96"/>
      <c r="Z5" s="112"/>
      <c r="AA5" s="112"/>
      <c r="AB5" s="112"/>
      <c r="AC5" s="112"/>
      <c r="AD5" s="112"/>
      <c r="AE5" s="112"/>
      <c r="AF5" s="112"/>
      <c r="AG5" s="112"/>
      <c r="AH5" s="152"/>
      <c r="AI5" s="203"/>
      <c r="AJ5" s="204"/>
      <c r="AK5" s="203"/>
      <c r="AL5" s="204"/>
      <c r="AM5" s="203"/>
      <c r="AN5" s="204"/>
      <c r="AO5" s="203"/>
      <c r="AP5" s="204"/>
      <c r="AQ5" s="205"/>
      <c r="AR5" s="204"/>
      <c r="AS5" s="203"/>
      <c r="AT5" s="203"/>
      <c r="AU5" s="204"/>
      <c r="AV5" s="112"/>
      <c r="AW5" s="112"/>
      <c r="AX5" s="112"/>
    </row>
    <row r="6" spans="1:51" s="94" customFormat="1" x14ac:dyDescent="0.25">
      <c r="L6" s="95"/>
      <c r="M6" s="95"/>
      <c r="N6" s="95"/>
      <c r="O6" s="95"/>
      <c r="P6" s="107" t="str">
        <f>IFERROR(VLOOKUP(G5&amp;"-"&amp;E5, Degree_Spark_DataBase[[Helper]:[Decan Planets]], 2, 0),"spark")</f>
        <v>Libra</v>
      </c>
      <c r="Q6" s="101"/>
      <c r="R6" s="107" t="str">
        <f>IFERROR(VLOOKUP(G5&amp;"-"&amp;E5, Degree_Spark_DataBase[[Helper]:[Decan Planets]], 3, 0),"decan")</f>
        <v>Aries</v>
      </c>
      <c r="S6" s="101"/>
      <c r="T6" s="101"/>
      <c r="U6" s="101"/>
      <c r="V6" s="107" t="str">
        <f>IFERROR(VLOOKUP(C5&amp;"-"&amp;E5&amp;"-"&amp;I5, TruePlacement_DataBase1[[Helper]:[Sign3]], 6,FALSE), "")</f>
        <v>Gemini</v>
      </c>
      <c r="W6" s="107">
        <f>IFERROR(VLOOKUP(C5&amp;"-"&amp;E5&amp;"-"&amp;I5, TruePlacement_DataBase1[[Helper]:[Sign6]], 9,FALSE), "")</f>
        <v>0</v>
      </c>
      <c r="X6" s="101"/>
      <c r="Y6" s="10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1" s="94" customFormat="1" x14ac:dyDescent="0.25">
      <c r="E7" s="148"/>
      <c r="L7" s="95"/>
      <c r="M7" s="95"/>
      <c r="N7" s="95"/>
      <c r="O7" s="95"/>
      <c r="P7" s="101"/>
      <c r="Q7" s="101"/>
      <c r="R7" s="101"/>
      <c r="S7" s="101"/>
      <c r="T7" s="101"/>
      <c r="U7" s="101"/>
      <c r="V7" s="107" t="str">
        <f>IFERROR(VLOOKUP(C5&amp;"-"&amp;E5&amp;"-"&amp;I5, TruePlacement_DataBase1[[Helper]:[Sign5]], 7,0), "")</f>
        <v>Aquarius</v>
      </c>
      <c r="W7" s="107" t="str">
        <f>IFERROR(VLOOKUP(C5&amp;"-"&amp;E5&amp;"-"&amp;I5, TruePlacement_DataBase2[[Helper]:[Sign5]], 10,0), "")</f>
        <v/>
      </c>
      <c r="X7" s="101"/>
      <c r="Y7" s="101"/>
      <c r="AH7" s="111"/>
      <c r="AI7" s="111"/>
      <c r="AJ7" s="111"/>
      <c r="AK7" s="111"/>
      <c r="AL7" s="111"/>
      <c r="AM7" s="111"/>
      <c r="AN7" s="111"/>
      <c r="AO7" s="111"/>
      <c r="AP7" s="111"/>
      <c r="AQ7" s="111"/>
      <c r="AR7" s="111"/>
      <c r="AS7" s="111"/>
      <c r="AT7" s="111"/>
      <c r="AU7" s="111"/>
      <c r="AV7" s="111"/>
      <c r="AW7" s="111"/>
      <c r="AX7" s="111"/>
    </row>
    <row r="8" spans="1:51" s="94" customFormat="1" ht="18.75" customHeight="1" x14ac:dyDescent="0.25">
      <c r="E8" s="190" t="s">
        <v>725</v>
      </c>
      <c r="F8" s="153"/>
      <c r="G8" s="320"/>
      <c r="H8" s="320"/>
      <c r="L8" s="95"/>
      <c r="M8" s="95"/>
      <c r="N8" s="95"/>
      <c r="O8" s="95"/>
      <c r="P8" s="101"/>
      <c r="Q8" s="101"/>
      <c r="R8" s="101"/>
      <c r="S8" s="101"/>
      <c r="T8" s="101"/>
      <c r="U8" s="101"/>
      <c r="V8" s="104"/>
      <c r="W8" s="104"/>
      <c r="X8" s="103"/>
      <c r="Y8" s="101"/>
      <c r="AH8" s="111"/>
      <c r="AI8" s="111"/>
      <c r="AJ8" s="111"/>
      <c r="AK8" s="111"/>
      <c r="AL8" s="111"/>
      <c r="AM8" s="111"/>
      <c r="AN8" s="111"/>
      <c r="AO8" s="111"/>
      <c r="AP8" s="111"/>
      <c r="AQ8" s="111"/>
      <c r="AR8" s="111"/>
      <c r="AS8" s="111"/>
      <c r="AT8" s="111"/>
      <c r="AU8" s="111"/>
      <c r="AV8" s="111"/>
      <c r="AW8" s="111"/>
      <c r="AX8" s="111"/>
    </row>
    <row r="9" spans="1:51" s="94" customFormat="1" ht="21.75" customHeight="1" thickBot="1" x14ac:dyDescent="0.3">
      <c r="D9" s="192" t="s">
        <v>44</v>
      </c>
      <c r="E9" s="188" t="str">
        <f>IFERROR(VLOOKUP(E5, Ruler[], 2, 0), "")</f>
        <v>JUPITER</v>
      </c>
      <c r="F9" s="189" t="s">
        <v>703</v>
      </c>
      <c r="G9" s="321" t="s">
        <v>27</v>
      </c>
      <c r="H9" s="322"/>
      <c r="L9" s="95"/>
      <c r="M9" s="95"/>
      <c r="N9" s="95"/>
      <c r="O9" s="95"/>
      <c r="P9" s="95"/>
      <c r="Q9" s="95"/>
      <c r="R9" s="95"/>
      <c r="Y9" s="95"/>
      <c r="AC9" s="111"/>
      <c r="AD9" s="111"/>
      <c r="AE9" s="111"/>
      <c r="AF9" s="111"/>
      <c r="AG9" s="111"/>
      <c r="AH9" s="111"/>
      <c r="AI9" s="111"/>
      <c r="AJ9" s="111"/>
      <c r="AK9" s="111"/>
      <c r="AL9" s="111"/>
      <c r="AM9" s="111"/>
      <c r="AN9" s="111"/>
      <c r="AO9" s="111"/>
      <c r="AP9" s="111"/>
      <c r="AQ9" s="111"/>
      <c r="AR9" s="111"/>
      <c r="AS9" s="111"/>
      <c r="AT9" s="111"/>
      <c r="AU9" s="111"/>
      <c r="AV9" s="111"/>
      <c r="AW9" s="111"/>
      <c r="AX9" s="111"/>
      <c r="AY9" s="111"/>
    </row>
    <row r="10" spans="1:51" s="94" customFormat="1" ht="22.5" customHeight="1" thickTop="1" thickBot="1" x14ac:dyDescent="0.3">
      <c r="U10" s="346" t="str">
        <f>VLOOKUP(AB43, Seznami!O35:P36, 2, 0)</f>
        <v>URANUS is Aries, with Libra spark in Aries decan, expressed through Sagittarius with Gemini base (through Aquarius)</v>
      </c>
      <c r="V10" s="347"/>
      <c r="W10" s="347"/>
      <c r="X10" s="348"/>
      <c r="Y10" s="95"/>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row>
    <row r="11" spans="1:51" s="75" customFormat="1" ht="15.75" thickBot="1" x14ac:dyDescent="0.3">
      <c r="A11" s="94"/>
      <c r="B11" s="80"/>
      <c r="C11" s="81"/>
      <c r="D11" s="81"/>
      <c r="E11" s="81"/>
      <c r="F11" s="81"/>
      <c r="G11" s="81"/>
      <c r="H11" s="81"/>
      <c r="I11" s="81"/>
      <c r="J11" s="81"/>
      <c r="K11" s="81"/>
      <c r="L11" s="81"/>
      <c r="M11" s="81"/>
      <c r="N11" s="81"/>
      <c r="O11" s="81"/>
      <c r="P11" s="81"/>
      <c r="Q11" s="81"/>
      <c r="R11" s="81"/>
      <c r="S11" s="82"/>
      <c r="T11" s="94"/>
      <c r="U11" s="349"/>
      <c r="V11" s="350"/>
      <c r="W11" s="350"/>
      <c r="X11" s="351"/>
      <c r="Y11" s="94"/>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row>
    <row r="12" spans="1:51" s="75" customFormat="1" ht="29.25" customHeight="1" thickTop="1" thickBot="1" x14ac:dyDescent="0.3">
      <c r="A12" s="94"/>
      <c r="B12" s="83"/>
      <c r="C12" s="308" t="s">
        <v>133</v>
      </c>
      <c r="D12" s="309"/>
      <c r="E12" s="84"/>
      <c r="F12" s="308" t="s">
        <v>153</v>
      </c>
      <c r="G12" s="309"/>
      <c r="H12" s="84"/>
      <c r="I12" s="308" t="s">
        <v>60</v>
      </c>
      <c r="J12" s="309"/>
      <c r="K12" s="84"/>
      <c r="L12" s="308" t="s">
        <v>153</v>
      </c>
      <c r="M12" s="313"/>
      <c r="N12" s="309"/>
      <c r="O12" s="84"/>
      <c r="P12" s="84"/>
      <c r="Q12" s="308" t="s">
        <v>60</v>
      </c>
      <c r="R12" s="309"/>
      <c r="S12" s="85"/>
      <c r="T12" s="94"/>
      <c r="U12" s="352"/>
      <c r="V12" s="353"/>
      <c r="W12" s="353"/>
      <c r="X12" s="354"/>
      <c r="Y12" s="94"/>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row>
    <row r="13" spans="1:51" s="75" customFormat="1" ht="24" customHeight="1" thickTop="1" thickBot="1" x14ac:dyDescent="0.3">
      <c r="A13" s="94"/>
      <c r="B13" s="83"/>
      <c r="C13" s="283" t="str">
        <f>L5</f>
        <v>URANUS</v>
      </c>
      <c r="D13" s="284"/>
      <c r="E13" s="78"/>
      <c r="F13" s="283" t="str">
        <f>V5</f>
        <v>Gemini</v>
      </c>
      <c r="G13" s="284"/>
      <c r="H13" s="78"/>
      <c r="I13" s="283" t="str">
        <f>V7</f>
        <v>Aquarius</v>
      </c>
      <c r="J13" s="284"/>
      <c r="K13" s="78"/>
      <c r="L13" s="285" t="str">
        <f>N5</f>
        <v>Aries</v>
      </c>
      <c r="M13" s="286"/>
      <c r="N13" s="287"/>
      <c r="O13" s="86"/>
      <c r="P13" s="86"/>
      <c r="Q13" s="285" t="str">
        <f>T5</f>
        <v>Sagittarius</v>
      </c>
      <c r="R13" s="287"/>
      <c r="S13" s="85"/>
      <c r="T13" s="94"/>
      <c r="U13" s="94"/>
      <c r="V13" s="94"/>
      <c r="W13" s="94"/>
      <c r="X13" s="94"/>
      <c r="Y13" s="108"/>
      <c r="Z13" s="113"/>
      <c r="AA13" s="113"/>
      <c r="AB13" s="113"/>
      <c r="AC13" s="113"/>
      <c r="AD13" s="113"/>
      <c r="AE13" s="113"/>
      <c r="AF13" s="113"/>
      <c r="AG13" s="113"/>
      <c r="AH13" s="111"/>
      <c r="AI13" s="111"/>
      <c r="AJ13" s="111"/>
      <c r="AK13" s="111"/>
      <c r="AL13" s="111"/>
      <c r="AM13" s="111"/>
      <c r="AN13" s="111"/>
      <c r="AO13" s="111"/>
      <c r="AP13" s="111"/>
      <c r="AQ13" s="111"/>
      <c r="AR13" s="111"/>
      <c r="AS13" s="111"/>
      <c r="AT13" s="111"/>
      <c r="AU13" s="111"/>
      <c r="AV13" s="111"/>
      <c r="AW13" s="111"/>
      <c r="AX13" s="111"/>
      <c r="AY13" s="111"/>
    </row>
    <row r="14" spans="1:51" s="75" customFormat="1" ht="11.25" customHeight="1" thickTop="1" x14ac:dyDescent="0.25">
      <c r="A14" s="94"/>
      <c r="B14" s="83"/>
      <c r="C14" s="78"/>
      <c r="D14" s="78"/>
      <c r="E14" s="78"/>
      <c r="F14" s="78"/>
      <c r="G14" s="78"/>
      <c r="H14" s="78"/>
      <c r="I14" s="78"/>
      <c r="J14" s="78"/>
      <c r="K14" s="78"/>
      <c r="L14" s="79"/>
      <c r="M14" s="79"/>
      <c r="N14" s="79"/>
      <c r="O14" s="79"/>
      <c r="P14" s="79"/>
      <c r="Q14" s="79"/>
      <c r="R14" s="79"/>
      <c r="S14" s="85"/>
      <c r="T14" s="94"/>
      <c r="U14" s="94"/>
      <c r="V14" s="94"/>
      <c r="W14" s="94"/>
      <c r="X14" s="94"/>
      <c r="Y14" s="108"/>
      <c r="Z14" s="113"/>
      <c r="AA14" s="113"/>
      <c r="AB14" s="113"/>
      <c r="AC14" s="113"/>
      <c r="AD14" s="113"/>
      <c r="AE14" s="113"/>
      <c r="AF14" s="113"/>
      <c r="AG14" s="113"/>
      <c r="AH14" s="111"/>
      <c r="AI14" s="111"/>
      <c r="AJ14" s="111"/>
      <c r="AK14" s="111"/>
      <c r="AL14" s="111"/>
      <c r="AM14" s="111"/>
      <c r="AN14" s="111"/>
      <c r="AO14" s="111"/>
      <c r="AP14" s="111"/>
      <c r="AQ14" s="111"/>
      <c r="AR14" s="111"/>
      <c r="AS14" s="111"/>
      <c r="AT14" s="111"/>
      <c r="AU14" s="111"/>
      <c r="AV14" s="111"/>
      <c r="AW14" s="111"/>
      <c r="AX14" s="111"/>
      <c r="AY14" s="111"/>
    </row>
    <row r="15" spans="1:51" s="68" customFormat="1" ht="25.5" customHeight="1" x14ac:dyDescent="0.25">
      <c r="A15" s="93"/>
      <c r="B15" s="87"/>
      <c r="C15" s="310"/>
      <c r="D15" s="311"/>
      <c r="E15" s="76" t="s">
        <v>148</v>
      </c>
      <c r="F15" s="311"/>
      <c r="G15" s="311"/>
      <c r="H15" s="76" t="s">
        <v>150</v>
      </c>
      <c r="I15" s="311"/>
      <c r="J15" s="311"/>
      <c r="K15" s="77" t="s">
        <v>152</v>
      </c>
      <c r="L15" s="311"/>
      <c r="M15" s="311"/>
      <c r="N15" s="311"/>
      <c r="O15" s="306" t="s">
        <v>154</v>
      </c>
      <c r="P15" s="306"/>
      <c r="Q15" s="311"/>
      <c r="R15" s="312"/>
      <c r="S15" s="88"/>
      <c r="T15" s="93"/>
      <c r="U15" s="94"/>
      <c r="V15" s="94"/>
      <c r="W15" s="94"/>
      <c r="X15" s="94"/>
      <c r="Y15" s="109"/>
      <c r="Z15" s="113"/>
      <c r="AA15" s="114"/>
      <c r="AB15" s="113"/>
      <c r="AC15" s="114"/>
      <c r="AD15" s="113"/>
      <c r="AE15" s="114"/>
      <c r="AF15" s="113"/>
      <c r="AG15" s="114"/>
      <c r="AH15" s="23"/>
      <c r="AI15" s="23"/>
      <c r="AJ15" s="23"/>
      <c r="AK15" s="23"/>
      <c r="AL15" s="23"/>
      <c r="AM15" s="23"/>
      <c r="AN15" s="23"/>
      <c r="AO15" s="23"/>
      <c r="AP15" s="23"/>
      <c r="AQ15" s="23"/>
      <c r="AR15" s="23"/>
      <c r="AS15" s="23"/>
      <c r="AT15" s="23"/>
      <c r="AU15" s="23"/>
      <c r="AV15" s="23"/>
      <c r="AW15" s="23"/>
      <c r="AX15" s="23"/>
      <c r="AY15" s="23"/>
    </row>
    <row r="16" spans="1:51" s="68" customFormat="1" ht="25.5" customHeight="1" x14ac:dyDescent="0.25">
      <c r="A16" s="93"/>
      <c r="B16" s="87"/>
      <c r="C16" s="345"/>
      <c r="D16" s="345"/>
      <c r="E16" s="185"/>
      <c r="F16" s="341"/>
      <c r="G16" s="341"/>
      <c r="H16" s="185"/>
      <c r="I16" s="341"/>
      <c r="J16" s="341"/>
      <c r="K16" s="186"/>
      <c r="L16" s="341"/>
      <c r="M16" s="341"/>
      <c r="N16" s="341"/>
      <c r="O16" s="185"/>
      <c r="P16" s="185"/>
      <c r="Q16" s="341"/>
      <c r="R16" s="341"/>
      <c r="S16" s="88"/>
      <c r="T16" s="93"/>
      <c r="U16" s="94"/>
      <c r="V16" s="94"/>
      <c r="W16" s="94"/>
      <c r="X16" s="94"/>
      <c r="Y16" s="109"/>
      <c r="Z16" s="113"/>
      <c r="AA16" s="114"/>
      <c r="AB16" s="113"/>
      <c r="AC16" s="114"/>
      <c r="AD16" s="113"/>
      <c r="AE16" s="114"/>
      <c r="AF16" s="113"/>
      <c r="AG16" s="114"/>
      <c r="AH16" s="23"/>
      <c r="AI16" s="23"/>
      <c r="AJ16" s="23"/>
      <c r="AK16" s="23"/>
      <c r="AL16" s="23"/>
      <c r="AM16" s="23"/>
      <c r="AN16" s="23"/>
      <c r="AO16" s="23"/>
      <c r="AP16" s="23"/>
      <c r="AQ16" s="23"/>
      <c r="AR16" s="23"/>
      <c r="AS16" s="23"/>
      <c r="AT16" s="23"/>
      <c r="AU16" s="23"/>
      <c r="AV16" s="23"/>
      <c r="AW16" s="23"/>
      <c r="AX16" s="23"/>
      <c r="AY16" s="23"/>
    </row>
    <row r="17" spans="1:56" s="68" customFormat="1" ht="25.5" customHeight="1" x14ac:dyDescent="0.25">
      <c r="A17" s="93"/>
      <c r="B17" s="87"/>
      <c r="C17" s="343"/>
      <c r="D17" s="343"/>
      <c r="E17" s="185"/>
      <c r="F17" s="342"/>
      <c r="G17" s="342"/>
      <c r="H17" s="185"/>
      <c r="I17" s="342"/>
      <c r="J17" s="342"/>
      <c r="K17" s="186"/>
      <c r="L17" s="342"/>
      <c r="M17" s="342"/>
      <c r="N17" s="342"/>
      <c r="O17" s="185"/>
      <c r="P17" s="185"/>
      <c r="Q17" s="342"/>
      <c r="R17" s="342"/>
      <c r="S17" s="88"/>
      <c r="T17" s="93"/>
      <c r="U17" s="326" t="str">
        <f>VLOOKUP(AG43, Seznami!O40:P41, 2, 0)</f>
        <v>JUPITER in Gemini, with Gemini spark in Gemini decan, expressed through Aquarius with Aries base (through Sagittarius)</v>
      </c>
      <c r="V17" s="327"/>
      <c r="W17" s="327"/>
      <c r="X17" s="328"/>
      <c r="Y17" s="109"/>
      <c r="Z17" s="113"/>
      <c r="AA17" s="114"/>
      <c r="AB17" s="113"/>
      <c r="AC17" s="114"/>
      <c r="AD17" s="113"/>
      <c r="AE17" s="114"/>
      <c r="AF17" s="113"/>
      <c r="AG17" s="114"/>
      <c r="AH17" s="23"/>
      <c r="AI17" s="23"/>
      <c r="AJ17" s="23"/>
      <c r="AK17" s="23"/>
      <c r="AL17" s="23"/>
      <c r="AM17" s="23"/>
      <c r="AN17" s="23"/>
      <c r="AO17" s="23"/>
      <c r="AP17" s="23"/>
      <c r="AQ17" s="23"/>
      <c r="AR17" s="23"/>
      <c r="AS17" s="23"/>
      <c r="AT17" s="23"/>
      <c r="AU17" s="23"/>
      <c r="AV17" s="23"/>
      <c r="AW17" s="23"/>
      <c r="AX17" s="23"/>
      <c r="AY17" s="23"/>
    </row>
    <row r="18" spans="1:56" s="68" customFormat="1" ht="25.5" customHeight="1" x14ac:dyDescent="0.25">
      <c r="A18" s="93"/>
      <c r="B18" s="87"/>
      <c r="C18" s="343"/>
      <c r="D18" s="343"/>
      <c r="E18" s="185"/>
      <c r="F18" s="342"/>
      <c r="G18" s="342"/>
      <c r="H18" s="185"/>
      <c r="I18" s="342"/>
      <c r="J18" s="342"/>
      <c r="K18" s="186"/>
      <c r="L18" s="342"/>
      <c r="M18" s="342"/>
      <c r="N18" s="342"/>
      <c r="O18" s="185"/>
      <c r="P18" s="185"/>
      <c r="Q18" s="342"/>
      <c r="R18" s="342"/>
      <c r="S18" s="88"/>
      <c r="T18" s="93"/>
      <c r="U18" s="329"/>
      <c r="V18" s="330"/>
      <c r="W18" s="330"/>
      <c r="X18" s="331"/>
      <c r="Y18" s="109"/>
      <c r="Z18" s="113"/>
      <c r="AA18" s="114"/>
      <c r="AB18" s="113"/>
      <c r="AC18" s="114"/>
      <c r="AD18" s="113"/>
      <c r="AE18" s="114"/>
      <c r="AF18" s="113"/>
      <c r="AG18" s="114"/>
      <c r="AH18" s="23"/>
      <c r="AI18" s="23"/>
      <c r="AJ18" s="23"/>
      <c r="AK18" s="23"/>
      <c r="AL18" s="23"/>
      <c r="AM18" s="23"/>
      <c r="AN18" s="23"/>
      <c r="AO18" s="23"/>
      <c r="AP18" s="23"/>
      <c r="AQ18" s="23"/>
      <c r="AR18" s="23"/>
      <c r="AS18" s="23"/>
      <c r="AT18" s="23"/>
      <c r="AU18" s="23"/>
      <c r="AV18" s="23"/>
      <c r="AW18" s="23"/>
      <c r="AX18" s="23"/>
      <c r="AY18" s="23"/>
    </row>
    <row r="19" spans="1:56" s="68" customFormat="1" ht="25.5" customHeight="1" x14ac:dyDescent="0.25">
      <c r="A19" s="93"/>
      <c r="B19" s="87"/>
      <c r="C19" s="344"/>
      <c r="D19" s="344"/>
      <c r="E19" s="185"/>
      <c r="F19" s="342"/>
      <c r="G19" s="342"/>
      <c r="H19" s="185"/>
      <c r="I19" s="342"/>
      <c r="J19" s="342"/>
      <c r="K19" s="186"/>
      <c r="L19" s="342"/>
      <c r="M19" s="342"/>
      <c r="N19" s="342"/>
      <c r="O19" s="185"/>
      <c r="P19" s="185"/>
      <c r="Q19" s="342"/>
      <c r="R19" s="342"/>
      <c r="S19" s="88"/>
      <c r="T19" s="93"/>
      <c r="U19" s="332"/>
      <c r="V19" s="333"/>
      <c r="W19" s="333"/>
      <c r="X19" s="334"/>
      <c r="Y19" s="109"/>
      <c r="Z19" s="113"/>
      <c r="AA19" s="114"/>
      <c r="AB19" s="113"/>
      <c r="AC19" s="114"/>
      <c r="AD19" s="113"/>
      <c r="AE19" s="114"/>
      <c r="AF19" s="113"/>
      <c r="AG19" s="114"/>
      <c r="AH19" s="23"/>
      <c r="AI19" s="23"/>
      <c r="AJ19" s="23"/>
      <c r="AK19" s="23"/>
      <c r="AL19" s="23"/>
      <c r="AM19" s="23"/>
      <c r="AN19" s="23"/>
      <c r="AO19" s="23"/>
      <c r="AP19" s="23"/>
      <c r="AQ19" s="23"/>
      <c r="AR19" s="23"/>
      <c r="AS19" s="23"/>
      <c r="AT19" s="23"/>
      <c r="AU19" s="23"/>
      <c r="AV19" s="23"/>
      <c r="AW19" s="23"/>
      <c r="AX19" s="23"/>
      <c r="AY19" s="23"/>
    </row>
    <row r="20" spans="1:56" s="68" customFormat="1" ht="15.75" thickBot="1" x14ac:dyDescent="0.3">
      <c r="A20" s="93"/>
      <c r="B20" s="89"/>
      <c r="C20" s="90"/>
      <c r="D20" s="90"/>
      <c r="E20" s="90"/>
      <c r="F20" s="90"/>
      <c r="G20" s="90"/>
      <c r="H20" s="90"/>
      <c r="I20" s="90"/>
      <c r="J20" s="90"/>
      <c r="K20" s="90"/>
      <c r="L20" s="91"/>
      <c r="M20" s="91"/>
      <c r="N20" s="91"/>
      <c r="O20" s="91"/>
      <c r="P20" s="91"/>
      <c r="Q20" s="91"/>
      <c r="R20" s="91"/>
      <c r="S20" s="92"/>
      <c r="T20" s="93"/>
      <c r="U20" s="93"/>
      <c r="V20" s="93"/>
      <c r="W20" s="93"/>
      <c r="X20" s="93"/>
      <c r="Y20" s="110"/>
      <c r="Z20" s="115"/>
      <c r="AA20" s="115"/>
      <c r="AB20" s="115"/>
      <c r="AC20" s="115"/>
      <c r="AD20" s="115"/>
      <c r="AE20" s="115"/>
      <c r="AF20" s="115"/>
      <c r="AG20" s="115"/>
      <c r="AH20" s="23"/>
      <c r="AI20" s="23"/>
      <c r="AJ20" s="23"/>
      <c r="AK20" s="23"/>
      <c r="AL20" s="23"/>
      <c r="AM20" s="23"/>
      <c r="AN20" s="23"/>
      <c r="AO20" s="23"/>
      <c r="AP20" s="23"/>
      <c r="AQ20" s="23"/>
      <c r="AR20" s="23"/>
      <c r="AS20" s="23"/>
      <c r="AT20" s="23"/>
      <c r="AU20" s="23"/>
      <c r="AV20" s="23"/>
      <c r="AW20" s="23"/>
      <c r="AX20" s="23"/>
      <c r="AY20" s="23"/>
    </row>
    <row r="21" spans="1:56" s="93" customFormat="1" x14ac:dyDescent="0.25">
      <c r="C21" s="99"/>
      <c r="D21" s="100"/>
      <c r="E21" s="99"/>
      <c r="F21" s="100"/>
      <c r="G21" s="118"/>
      <c r="H21" s="119"/>
      <c r="I21" s="118"/>
      <c r="J21" s="119"/>
      <c r="K21" s="118"/>
      <c r="L21" s="120"/>
      <c r="M21" s="120"/>
      <c r="N21" s="120"/>
      <c r="O21" s="120"/>
      <c r="P21" s="120"/>
      <c r="Q21" s="120"/>
      <c r="R21" s="120"/>
      <c r="S21" s="120"/>
      <c r="T21" s="120"/>
      <c r="U21" s="120"/>
      <c r="V21" s="120"/>
      <c r="Y21" s="99"/>
      <c r="Z21" s="116"/>
      <c r="AA21" s="117"/>
      <c r="AB21" s="116"/>
      <c r="AC21" s="117"/>
      <c r="AD21" s="116"/>
      <c r="AE21" s="117"/>
      <c r="AF21" s="116"/>
      <c r="AG21" s="117"/>
      <c r="AH21" s="23"/>
      <c r="AI21" s="23"/>
      <c r="AJ21" s="23"/>
      <c r="AK21" s="23"/>
      <c r="AL21" s="23"/>
      <c r="AM21" s="23"/>
      <c r="AN21" s="23"/>
      <c r="AO21" s="23"/>
      <c r="AP21" s="23"/>
      <c r="AQ21" s="23"/>
      <c r="AR21" s="23"/>
      <c r="AS21" s="23"/>
      <c r="AT21" s="23"/>
      <c r="AU21" s="23"/>
      <c r="AV21" s="23"/>
      <c r="AW21" s="23"/>
      <c r="AX21" s="23"/>
      <c r="AY21" s="23"/>
    </row>
    <row r="22" spans="1:56" s="68" customFormat="1" ht="24.75" customHeight="1" thickBot="1" x14ac:dyDescent="0.3">
      <c r="A22" s="23"/>
      <c r="B22" s="23"/>
      <c r="C22" s="264" t="s">
        <v>63</v>
      </c>
      <c r="D22" s="265"/>
      <c r="E22" s="111"/>
      <c r="F22" s="111"/>
      <c r="G22" s="121"/>
      <c r="H22" s="121"/>
      <c r="I22" s="121"/>
      <c r="J22" s="121"/>
      <c r="K22" s="121"/>
      <c r="L22" s="121"/>
      <c r="M22" s="121"/>
      <c r="N22" s="121"/>
      <c r="O22" s="121"/>
      <c r="P22" s="121"/>
      <c r="Q22" s="121"/>
      <c r="R22" s="121"/>
      <c r="S22" s="121"/>
      <c r="T22" s="121"/>
      <c r="U22" s="121"/>
      <c r="V22" s="121"/>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row>
    <row r="23" spans="1:56" s="68" customFormat="1" ht="24.75" customHeight="1" x14ac:dyDescent="0.25">
      <c r="A23" s="23"/>
      <c r="B23" s="23"/>
      <c r="C23" s="266" t="str">
        <f>P6</f>
        <v>Libra</v>
      </c>
      <c r="D23" s="267"/>
      <c r="E23" s="314"/>
      <c r="F23" s="315"/>
      <c r="G23" s="121"/>
      <c r="H23" s="121"/>
      <c r="I23" s="292" t="str">
        <f>C15&amp;" "&amp;E15&amp;" "&amp;F15&amp;" "&amp;H15&amp;" "&amp;I15&amp;" "&amp;K15&amp;" "&amp;L15&amp;" "&amp;O15&amp;" "&amp;Q15</f>
        <v xml:space="preserve"> based on   through  directed into  expressed through  </v>
      </c>
      <c r="J23" s="293"/>
      <c r="K23" s="293"/>
      <c r="L23" s="293"/>
      <c r="M23" s="293"/>
      <c r="N23" s="293"/>
      <c r="O23" s="293"/>
      <c r="P23" s="293"/>
      <c r="Q23" s="293"/>
      <c r="R23" s="293"/>
      <c r="S23" s="294"/>
      <c r="T23" s="121"/>
      <c r="U23" s="121"/>
      <c r="V23" s="121"/>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row>
    <row r="24" spans="1:56" s="68" customFormat="1" ht="24.75" customHeight="1" thickBot="1" x14ac:dyDescent="0.3">
      <c r="A24" s="23"/>
      <c r="B24" s="23"/>
      <c r="C24" s="111"/>
      <c r="D24" s="111"/>
      <c r="E24" s="112"/>
      <c r="F24" s="112"/>
      <c r="G24" s="121"/>
      <c r="H24" s="121"/>
      <c r="I24" s="295"/>
      <c r="J24" s="296"/>
      <c r="K24" s="296"/>
      <c r="L24" s="296"/>
      <c r="M24" s="296"/>
      <c r="N24" s="296"/>
      <c r="O24" s="296"/>
      <c r="P24" s="296"/>
      <c r="Q24" s="296"/>
      <c r="R24" s="296"/>
      <c r="S24" s="297"/>
      <c r="T24" s="121"/>
      <c r="U24" s="121"/>
      <c r="V24" s="121"/>
      <c r="W24" s="23"/>
      <c r="X24" s="23"/>
      <c r="Y24" s="23"/>
      <c r="Z24" s="23" t="s">
        <v>725</v>
      </c>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row>
    <row r="25" spans="1:56" s="68" customFormat="1" ht="24.75" customHeight="1" thickBot="1" x14ac:dyDescent="0.3">
      <c r="A25" s="23"/>
      <c r="B25" s="23"/>
      <c r="C25" s="264" t="s">
        <v>704</v>
      </c>
      <c r="D25" s="265"/>
      <c r="E25" s="112"/>
      <c r="F25" s="112"/>
      <c r="G25" s="121"/>
      <c r="H25" s="121"/>
      <c r="I25" s="295"/>
      <c r="J25" s="296"/>
      <c r="K25" s="296"/>
      <c r="L25" s="296"/>
      <c r="M25" s="296"/>
      <c r="N25" s="296"/>
      <c r="O25" s="296"/>
      <c r="P25" s="296"/>
      <c r="Q25" s="296"/>
      <c r="R25" s="296"/>
      <c r="S25" s="297"/>
      <c r="T25" s="121"/>
      <c r="U25" s="183"/>
      <c r="V25" s="121"/>
      <c r="W25" s="23"/>
      <c r="X25" s="23"/>
      <c r="Y25" s="23"/>
      <c r="Z25" s="335" t="str">
        <f>AG34&amp;" in "&amp;AG35&amp;", with "&amp;AG36&amp;" spark in "&amp;AG37&amp;" decan, expressed through "&amp;AG38&amp;" with "&amp;AG39&amp;" base (through "&amp;AG40&amp;")"</f>
        <v>JUPITER in Gemini, with Gemini spark in Gemini decan, expressed through Aquarius with Aries base (through Sagittarius)</v>
      </c>
      <c r="AA25" s="336"/>
      <c r="AB25" s="336"/>
      <c r="AC25" s="336"/>
      <c r="AD25" s="336"/>
      <c r="AE25" s="336"/>
      <c r="AF25" s="336"/>
      <c r="AG25" s="336"/>
      <c r="AH25" s="336"/>
      <c r="AI25" s="336"/>
      <c r="AJ25" s="336"/>
      <c r="AK25" s="337"/>
      <c r="AL25" s="23"/>
      <c r="AM25" s="23"/>
      <c r="AN25" s="23"/>
      <c r="AO25" s="23"/>
      <c r="AP25" s="23"/>
      <c r="AQ25" s="23"/>
      <c r="AR25" s="23"/>
      <c r="AS25" s="23"/>
      <c r="AT25" s="23"/>
      <c r="AU25" s="23"/>
      <c r="AV25" s="23"/>
      <c r="AW25" s="23"/>
      <c r="AX25" s="23"/>
      <c r="AY25" s="23"/>
      <c r="AZ25" s="23"/>
      <c r="BA25" s="23"/>
      <c r="BB25" s="23"/>
      <c r="BC25" s="23"/>
      <c r="BD25" s="23"/>
    </row>
    <row r="26" spans="1:56" s="68" customFormat="1" ht="24.75" customHeight="1" thickBot="1" x14ac:dyDescent="0.3">
      <c r="A26" s="23"/>
      <c r="B26" s="23"/>
      <c r="C26" s="266" t="str">
        <f>R6</f>
        <v>Aries</v>
      </c>
      <c r="D26" s="267"/>
      <c r="E26" s="314"/>
      <c r="F26" s="315"/>
      <c r="G26" s="121"/>
      <c r="H26" s="121"/>
      <c r="I26" s="295"/>
      <c r="J26" s="296"/>
      <c r="K26" s="296"/>
      <c r="L26" s="296"/>
      <c r="M26" s="296"/>
      <c r="N26" s="296"/>
      <c r="O26" s="296"/>
      <c r="P26" s="296"/>
      <c r="Q26" s="296"/>
      <c r="R26" s="296"/>
      <c r="S26" s="297"/>
      <c r="T26" s="121"/>
      <c r="U26" s="121"/>
      <c r="V26" s="121"/>
      <c r="W26" s="23"/>
      <c r="X26" s="23"/>
      <c r="Y26" s="23"/>
      <c r="Z26" s="338" t="str">
        <f>AG34&amp;" in "&amp;AG35&amp;", with "&amp;AG36&amp;" spark in "&amp;AG37&amp;" decan, expressed through "&amp;AG38&amp;" with "&amp;AG39&amp;" and "&amp;AG41&amp;" base (through "&amp;AG40&amp;" and "&amp;AG42&amp;")"</f>
        <v>JUPITER in Gemini, with Gemini spark in Gemini decan, expressed through Aquarius with Aries and 0 base (through Sagittarius and )</v>
      </c>
      <c r="AA26" s="339"/>
      <c r="AB26" s="339"/>
      <c r="AC26" s="339"/>
      <c r="AD26" s="339"/>
      <c r="AE26" s="339"/>
      <c r="AF26" s="339"/>
      <c r="AG26" s="339"/>
      <c r="AH26" s="339"/>
      <c r="AI26" s="339"/>
      <c r="AJ26" s="339"/>
      <c r="AK26" s="340"/>
      <c r="AL26" s="23"/>
      <c r="AM26" s="23"/>
      <c r="AN26" s="23"/>
      <c r="AO26" s="23"/>
      <c r="AP26" s="23"/>
      <c r="AQ26" s="23"/>
      <c r="AR26" s="23"/>
      <c r="AS26" s="23"/>
      <c r="AT26" s="23"/>
      <c r="AU26" s="23"/>
      <c r="AV26" s="23"/>
      <c r="AW26" s="23"/>
      <c r="AX26" s="23"/>
      <c r="AY26" s="23"/>
      <c r="AZ26" s="23"/>
      <c r="BA26" s="23"/>
      <c r="BB26" s="23"/>
      <c r="BC26" s="23"/>
      <c r="BD26" s="23"/>
    </row>
    <row r="27" spans="1:56" s="68" customFormat="1" ht="24.75" customHeight="1" thickBot="1" x14ac:dyDescent="0.3">
      <c r="A27" s="23"/>
      <c r="B27" s="23"/>
      <c r="C27" s="23"/>
      <c r="D27" s="23"/>
      <c r="E27" s="23"/>
      <c r="F27" s="23"/>
      <c r="G27" s="121"/>
      <c r="H27" s="121"/>
      <c r="I27" s="301"/>
      <c r="J27" s="302"/>
      <c r="K27" s="302"/>
      <c r="L27" s="302"/>
      <c r="M27" s="302"/>
      <c r="N27" s="302"/>
      <c r="O27" s="302"/>
      <c r="P27" s="302"/>
      <c r="Q27" s="302"/>
      <c r="R27" s="302"/>
      <c r="S27" s="303"/>
      <c r="T27" s="121"/>
      <c r="U27" s="121"/>
      <c r="V27" s="121"/>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row>
    <row r="28" spans="1:56" s="68" customFormat="1" ht="24.75" customHeight="1" thickBot="1" x14ac:dyDescent="0.3">
      <c r="A28" s="23"/>
      <c r="B28" s="23"/>
      <c r="C28" s="121"/>
      <c r="D28" s="121"/>
      <c r="E28" s="121"/>
      <c r="F28" s="121"/>
      <c r="G28" s="121"/>
      <c r="H28" s="121"/>
      <c r="I28" s="121"/>
      <c r="J28" s="121"/>
      <c r="K28" s="121"/>
      <c r="L28" s="121"/>
      <c r="M28" s="121"/>
      <c r="N28" s="121"/>
      <c r="O28" s="121"/>
      <c r="P28" s="121"/>
      <c r="Q28" s="121"/>
      <c r="R28" s="121"/>
      <c r="S28" s="121"/>
      <c r="T28" s="121"/>
      <c r="U28" s="121"/>
      <c r="V28" s="121"/>
      <c r="W28" s="23"/>
      <c r="X28" s="23"/>
      <c r="Y28" s="23"/>
      <c r="Z28" s="23" t="s">
        <v>133</v>
      </c>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row>
    <row r="29" spans="1:56" s="68" customFormat="1" ht="21" customHeight="1" thickBot="1" x14ac:dyDescent="0.35">
      <c r="A29" s="23"/>
      <c r="B29" s="23"/>
      <c r="C29" s="122" t="s">
        <v>711</v>
      </c>
      <c r="D29" s="121"/>
      <c r="E29" s="121"/>
      <c r="F29" s="121"/>
      <c r="G29" s="121"/>
      <c r="H29" s="121"/>
      <c r="I29" s="121"/>
      <c r="J29" s="121"/>
      <c r="K29" s="121"/>
      <c r="L29" s="121"/>
      <c r="M29" s="121"/>
      <c r="N29" s="121"/>
      <c r="O29" s="121"/>
      <c r="P29" s="121"/>
      <c r="Q29" s="121"/>
      <c r="R29" s="121"/>
      <c r="S29" s="121"/>
      <c r="T29" s="121"/>
      <c r="U29" s="121"/>
      <c r="V29" s="121"/>
      <c r="W29" s="23"/>
      <c r="X29" s="23"/>
      <c r="Y29" s="23"/>
      <c r="Z29" s="261" t="str">
        <f>AB34&amp;" is "&amp;AB35&amp;", with "&amp;AB36&amp;" spark in "&amp;AB37&amp;" decan, expressed through "&amp;AB38&amp;" with "&amp;AB39&amp;" base (through "&amp;AB40&amp;")"</f>
        <v>URANUS is Aries, with Libra spark in Aries decan, expressed through Sagittarius with Gemini base (through Aquarius)</v>
      </c>
      <c r="AA29" s="262"/>
      <c r="AB29" s="262"/>
      <c r="AC29" s="262"/>
      <c r="AD29" s="262"/>
      <c r="AE29" s="262"/>
      <c r="AF29" s="262"/>
      <c r="AG29" s="262"/>
      <c r="AH29" s="262"/>
      <c r="AI29" s="262"/>
      <c r="AJ29" s="262"/>
      <c r="AK29" s="263"/>
      <c r="AL29" s="23"/>
      <c r="AM29" s="23"/>
      <c r="AN29" s="23"/>
      <c r="AO29" s="23"/>
      <c r="AP29" s="23"/>
      <c r="AQ29" s="23"/>
      <c r="AR29" s="23"/>
      <c r="AS29" s="23"/>
      <c r="AT29" s="23"/>
      <c r="AU29" s="23"/>
      <c r="AV29" s="23"/>
      <c r="AW29" s="23"/>
      <c r="AX29" s="23"/>
      <c r="AY29" s="23"/>
      <c r="AZ29" s="23"/>
      <c r="BA29" s="23"/>
      <c r="BB29" s="23"/>
      <c r="BC29" s="23"/>
      <c r="BD29" s="23"/>
    </row>
    <row r="30" spans="1:56" s="68" customFormat="1" ht="8.25" customHeight="1" thickBot="1" x14ac:dyDescent="0.3">
      <c r="A30" s="23"/>
      <c r="B30" s="23"/>
      <c r="C30" s="121"/>
      <c r="D30" s="121"/>
      <c r="E30" s="121"/>
      <c r="F30" s="121"/>
      <c r="G30" s="121"/>
      <c r="H30" s="121"/>
      <c r="I30" s="121"/>
      <c r="J30" s="121"/>
      <c r="K30" s="121"/>
      <c r="L30" s="121"/>
      <c r="M30" s="121"/>
      <c r="N30" s="121"/>
      <c r="O30" s="121"/>
      <c r="P30" s="121"/>
      <c r="Q30" s="121"/>
      <c r="R30" s="121"/>
      <c r="S30" s="121"/>
      <c r="T30" s="121"/>
      <c r="U30" s="121"/>
      <c r="V30" s="121"/>
      <c r="W30" s="23"/>
      <c r="X30" s="23"/>
      <c r="Y30" s="23"/>
      <c r="Z30" s="255" t="str">
        <f>AB34&amp;" is "&amp;AB35&amp;", with "&amp;AB36&amp;" spark in "&amp;AB37&amp;" decan, expressed through "&amp;AB38&amp;" with "&amp;AB39&amp;" and "&amp;AB41&amp;" base (through "&amp;AB40&amp;" and "&amp;AB42&amp;")"</f>
        <v>URANUS is Aries, with Libra spark in Aries decan, expressed through Sagittarius with Gemini and 0 base (through Aquarius and )</v>
      </c>
      <c r="AA30" s="256"/>
      <c r="AB30" s="256"/>
      <c r="AC30" s="256"/>
      <c r="AD30" s="256"/>
      <c r="AE30" s="256"/>
      <c r="AF30" s="256"/>
      <c r="AG30" s="256"/>
      <c r="AH30" s="256"/>
      <c r="AI30" s="256"/>
      <c r="AJ30" s="256"/>
      <c r="AK30" s="257"/>
      <c r="AL30" s="23"/>
      <c r="AM30" s="23"/>
      <c r="AN30" s="23"/>
      <c r="AO30" s="23"/>
      <c r="AP30" s="23"/>
      <c r="AQ30" s="23"/>
      <c r="AR30" s="23"/>
      <c r="AS30" s="23"/>
      <c r="AT30" s="23"/>
      <c r="AU30" s="23"/>
      <c r="AV30" s="23"/>
      <c r="AW30" s="23"/>
      <c r="AX30" s="23"/>
      <c r="AY30" s="23"/>
      <c r="AZ30" s="23"/>
      <c r="BA30" s="23"/>
      <c r="BB30" s="23"/>
      <c r="BC30" s="23"/>
      <c r="BD30" s="23"/>
    </row>
    <row r="31" spans="1:56" s="68" customFormat="1" ht="16.5" thickTop="1" thickBot="1" x14ac:dyDescent="0.3">
      <c r="A31" s="23"/>
      <c r="B31" s="23"/>
      <c r="C31" s="270"/>
      <c r="D31" s="271"/>
      <c r="E31" s="271"/>
      <c r="F31" s="271"/>
      <c r="G31" s="271"/>
      <c r="H31" s="271"/>
      <c r="I31" s="271"/>
      <c r="J31" s="271"/>
      <c r="K31" s="271"/>
      <c r="L31" s="271"/>
      <c r="M31" s="271"/>
      <c r="N31" s="271"/>
      <c r="O31" s="271"/>
      <c r="P31" s="271"/>
      <c r="Q31" s="271"/>
      <c r="R31" s="271"/>
      <c r="S31" s="272"/>
      <c r="T31" s="121"/>
      <c r="U31" s="121"/>
      <c r="V31" s="121"/>
      <c r="W31" s="23"/>
      <c r="X31" s="23"/>
      <c r="Y31" s="23"/>
      <c r="Z31" s="258"/>
      <c r="AA31" s="259"/>
      <c r="AB31" s="259"/>
      <c r="AC31" s="259"/>
      <c r="AD31" s="259"/>
      <c r="AE31" s="259"/>
      <c r="AF31" s="259"/>
      <c r="AG31" s="259"/>
      <c r="AH31" s="259"/>
      <c r="AI31" s="259"/>
      <c r="AJ31" s="259"/>
      <c r="AK31" s="260"/>
      <c r="AL31" s="23"/>
      <c r="AM31" s="23"/>
      <c r="AN31" s="23"/>
      <c r="AO31" s="23"/>
      <c r="AP31" s="23"/>
      <c r="AQ31" s="23"/>
      <c r="AR31" s="23"/>
      <c r="AS31" s="23"/>
      <c r="AT31" s="23"/>
      <c r="AU31" s="23"/>
      <c r="AV31" s="23"/>
      <c r="AW31" s="23"/>
      <c r="AX31" s="23"/>
      <c r="AY31" s="23"/>
      <c r="AZ31" s="23"/>
      <c r="BA31" s="23"/>
      <c r="BB31" s="23"/>
      <c r="BC31" s="23"/>
      <c r="BD31" s="23"/>
    </row>
    <row r="32" spans="1:56" s="68" customFormat="1" ht="15.75" thickBot="1" x14ac:dyDescent="0.3">
      <c r="A32" s="23"/>
      <c r="B32" s="23"/>
      <c r="C32" s="273"/>
      <c r="D32" s="274"/>
      <c r="E32" s="274"/>
      <c r="F32" s="274"/>
      <c r="G32" s="274"/>
      <c r="H32" s="274"/>
      <c r="I32" s="274"/>
      <c r="J32" s="274"/>
      <c r="K32" s="274"/>
      <c r="L32" s="274"/>
      <c r="M32" s="274"/>
      <c r="N32" s="274"/>
      <c r="O32" s="274"/>
      <c r="P32" s="274"/>
      <c r="Q32" s="274"/>
      <c r="R32" s="274"/>
      <c r="S32" s="275"/>
      <c r="T32" s="121"/>
      <c r="U32" s="121"/>
      <c r="V32" s="121"/>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row>
    <row r="33" spans="1:56" s="68" customFormat="1" x14ac:dyDescent="0.25">
      <c r="A33" s="23"/>
      <c r="B33" s="23"/>
      <c r="C33" s="273"/>
      <c r="D33" s="274"/>
      <c r="E33" s="274"/>
      <c r="F33" s="274"/>
      <c r="G33" s="274"/>
      <c r="H33" s="274"/>
      <c r="I33" s="274"/>
      <c r="J33" s="274"/>
      <c r="K33" s="274"/>
      <c r="L33" s="274"/>
      <c r="M33" s="274"/>
      <c r="N33" s="274"/>
      <c r="O33" s="274"/>
      <c r="P33" s="274"/>
      <c r="Q33" s="274"/>
      <c r="R33" s="274"/>
      <c r="S33" s="275"/>
      <c r="T33" s="121"/>
      <c r="U33" s="121"/>
      <c r="V33" s="121"/>
      <c r="W33" s="23"/>
      <c r="X33" s="23"/>
      <c r="Y33" s="23"/>
      <c r="Z33" s="170"/>
      <c r="AA33" s="171"/>
      <c r="AB33" s="171"/>
      <c r="AC33" s="172"/>
      <c r="AD33" s="23"/>
      <c r="AE33" s="154"/>
      <c r="AF33" s="155"/>
      <c r="AG33" s="155"/>
      <c r="AH33" s="156"/>
      <c r="AI33" s="159"/>
      <c r="AJ33" s="23"/>
      <c r="AK33" s="23"/>
      <c r="AL33" s="23"/>
      <c r="AM33" s="23"/>
      <c r="AN33" s="23"/>
      <c r="AO33" s="23"/>
      <c r="AP33" s="23"/>
      <c r="AQ33" s="23"/>
      <c r="AR33" s="23"/>
      <c r="AS33" s="23"/>
      <c r="AT33" s="23"/>
      <c r="AU33" s="23"/>
      <c r="AV33" s="23"/>
      <c r="AW33" s="23"/>
      <c r="AX33" s="23"/>
      <c r="AY33" s="23"/>
      <c r="AZ33" s="23"/>
      <c r="BA33" s="23"/>
      <c r="BB33" s="23"/>
      <c r="BC33" s="23"/>
      <c r="BD33" s="23"/>
    </row>
    <row r="34" spans="1:56" s="68" customFormat="1" x14ac:dyDescent="0.25">
      <c r="A34" s="23"/>
      <c r="B34" s="23"/>
      <c r="C34" s="273"/>
      <c r="D34" s="274"/>
      <c r="E34" s="274"/>
      <c r="F34" s="274"/>
      <c r="G34" s="274"/>
      <c r="H34" s="274"/>
      <c r="I34" s="274"/>
      <c r="J34" s="274"/>
      <c r="K34" s="274"/>
      <c r="L34" s="274"/>
      <c r="M34" s="274"/>
      <c r="N34" s="274"/>
      <c r="O34" s="274"/>
      <c r="P34" s="274"/>
      <c r="Q34" s="274"/>
      <c r="R34" s="274"/>
      <c r="S34" s="275"/>
      <c r="T34" s="121"/>
      <c r="U34" s="121"/>
      <c r="V34" s="121"/>
      <c r="W34" s="23"/>
      <c r="X34" s="23"/>
      <c r="Y34" s="23"/>
      <c r="Z34" s="173"/>
      <c r="AA34" s="178" t="s">
        <v>716</v>
      </c>
      <c r="AB34" s="179" t="str">
        <f>L5</f>
        <v>URANUS</v>
      </c>
      <c r="AC34" s="174"/>
      <c r="AD34" s="23"/>
      <c r="AE34" s="159"/>
      <c r="AF34" s="178" t="s">
        <v>716</v>
      </c>
      <c r="AG34" s="191" t="str">
        <f>E9</f>
        <v>JUPITER</v>
      </c>
      <c r="AH34" s="160"/>
      <c r="AI34" s="159"/>
      <c r="AJ34" s="23"/>
      <c r="AK34" s="23"/>
      <c r="AL34" s="23"/>
      <c r="AM34" s="23"/>
      <c r="AN34" s="23"/>
      <c r="AO34" s="23"/>
      <c r="AP34" s="23"/>
      <c r="AQ34" s="23"/>
      <c r="AR34" s="23"/>
      <c r="AS34" s="23"/>
      <c r="AT34" s="23"/>
      <c r="AU34" s="23"/>
      <c r="AV34" s="23"/>
      <c r="AW34" s="23"/>
      <c r="AX34" s="23"/>
      <c r="AY34" s="23"/>
      <c r="AZ34" s="23"/>
      <c r="BA34" s="23"/>
      <c r="BB34" s="23"/>
      <c r="BC34" s="23"/>
      <c r="BD34" s="23"/>
    </row>
    <row r="35" spans="1:56" s="68" customFormat="1" x14ac:dyDescent="0.25">
      <c r="A35" s="23"/>
      <c r="B35" s="23"/>
      <c r="C35" s="273"/>
      <c r="D35" s="274"/>
      <c r="E35" s="274"/>
      <c r="F35" s="274"/>
      <c r="G35" s="274"/>
      <c r="H35" s="274"/>
      <c r="I35" s="274"/>
      <c r="J35" s="274"/>
      <c r="K35" s="274"/>
      <c r="L35" s="274"/>
      <c r="M35" s="274"/>
      <c r="N35" s="274"/>
      <c r="O35" s="274"/>
      <c r="P35" s="274"/>
      <c r="Q35" s="274"/>
      <c r="R35" s="274"/>
      <c r="S35" s="275"/>
      <c r="T35" s="121"/>
      <c r="U35" s="121"/>
      <c r="V35" s="121"/>
      <c r="W35" s="23"/>
      <c r="X35" s="23"/>
      <c r="Y35" s="23"/>
      <c r="Z35" s="173"/>
      <c r="AA35" s="178" t="s">
        <v>719</v>
      </c>
      <c r="AB35" s="179" t="str">
        <f>N5</f>
        <v>Aries</v>
      </c>
      <c r="AC35" s="174"/>
      <c r="AD35" s="23"/>
      <c r="AE35" s="159"/>
      <c r="AF35" s="178" t="s">
        <v>719</v>
      </c>
      <c r="AG35" s="179" t="str">
        <f>IFERROR(VLOOKUP(E9&amp;"-"&amp;G9&amp;"-"&amp;I5, TruePlacement_DataBase1[[#All],[Helper]:[Sign6]], 3, 0), "")</f>
        <v>Gemini</v>
      </c>
      <c r="AH35" s="160"/>
      <c r="AI35" s="159"/>
      <c r="AJ35" s="23"/>
      <c r="AK35" s="23"/>
      <c r="AL35" s="23"/>
      <c r="AM35" s="23"/>
      <c r="AN35" s="23"/>
      <c r="AO35" s="23"/>
      <c r="AP35" s="23"/>
      <c r="AQ35" s="23"/>
      <c r="AR35" s="23"/>
      <c r="AS35" s="23"/>
      <c r="AT35" s="23"/>
      <c r="AU35" s="23"/>
      <c r="AV35" s="23"/>
      <c r="AW35" s="23"/>
      <c r="AX35" s="23"/>
      <c r="AY35" s="23"/>
      <c r="AZ35" s="23"/>
      <c r="BA35" s="23"/>
      <c r="BB35" s="23"/>
      <c r="BC35" s="23"/>
      <c r="BD35" s="23"/>
    </row>
    <row r="36" spans="1:56" s="68" customFormat="1" x14ac:dyDescent="0.25">
      <c r="A36" s="23"/>
      <c r="B36" s="23"/>
      <c r="C36" s="273"/>
      <c r="D36" s="274"/>
      <c r="E36" s="274"/>
      <c r="F36" s="274"/>
      <c r="G36" s="274"/>
      <c r="H36" s="274"/>
      <c r="I36" s="274"/>
      <c r="J36" s="274"/>
      <c r="K36" s="274"/>
      <c r="L36" s="274"/>
      <c r="M36" s="274"/>
      <c r="N36" s="274"/>
      <c r="O36" s="274"/>
      <c r="P36" s="274"/>
      <c r="Q36" s="274"/>
      <c r="R36" s="274"/>
      <c r="S36" s="275"/>
      <c r="T36" s="121"/>
      <c r="U36" s="121"/>
      <c r="V36" s="121"/>
      <c r="W36" s="23"/>
      <c r="X36" s="23"/>
      <c r="Y36" s="23"/>
      <c r="Z36" s="173"/>
      <c r="AA36" s="178" t="s">
        <v>717</v>
      </c>
      <c r="AB36" s="179" t="str">
        <f>P6</f>
        <v>Libra</v>
      </c>
      <c r="AC36" s="174"/>
      <c r="AD36" s="23"/>
      <c r="AE36" s="159"/>
      <c r="AF36" s="178" t="s">
        <v>717</v>
      </c>
      <c r="AG36" s="179" t="str">
        <f>IFERROR(VLOOKUP(D9&amp;"-"&amp;G9, Degree_Spark_DataBase[[Helper]:[Decan Planets]], 2, 0),"")</f>
        <v>Gemini</v>
      </c>
      <c r="AH36" s="160"/>
      <c r="AI36" s="159"/>
      <c r="AJ36" s="23"/>
      <c r="AK36" s="23"/>
      <c r="AL36" s="23"/>
      <c r="AM36" s="23"/>
      <c r="AN36" s="23"/>
      <c r="AO36" s="23"/>
      <c r="AP36" s="23"/>
      <c r="AQ36" s="23"/>
      <c r="AR36" s="23"/>
      <c r="AS36" s="23"/>
      <c r="AT36" s="23"/>
      <c r="AU36" s="23"/>
      <c r="AV36" s="23"/>
      <c r="AW36" s="23"/>
      <c r="AX36" s="23"/>
      <c r="AY36" s="23"/>
      <c r="AZ36" s="23"/>
      <c r="BA36" s="23"/>
      <c r="BB36" s="23"/>
      <c r="BC36" s="23"/>
      <c r="BD36" s="23"/>
    </row>
    <row r="37" spans="1:56" s="68" customFormat="1" x14ac:dyDescent="0.25">
      <c r="A37" s="23"/>
      <c r="B37" s="23"/>
      <c r="C37" s="273"/>
      <c r="D37" s="274"/>
      <c r="E37" s="274"/>
      <c r="F37" s="274"/>
      <c r="G37" s="274"/>
      <c r="H37" s="274"/>
      <c r="I37" s="274"/>
      <c r="J37" s="274"/>
      <c r="K37" s="274"/>
      <c r="L37" s="274"/>
      <c r="M37" s="274"/>
      <c r="N37" s="274"/>
      <c r="O37" s="274"/>
      <c r="P37" s="274"/>
      <c r="Q37" s="274"/>
      <c r="R37" s="274"/>
      <c r="S37" s="275"/>
      <c r="T37" s="121"/>
      <c r="U37" s="121"/>
      <c r="V37" s="121"/>
      <c r="W37" s="23"/>
      <c r="X37" s="23"/>
      <c r="Y37" s="23"/>
      <c r="Z37" s="173"/>
      <c r="AA37" s="178" t="s">
        <v>718</v>
      </c>
      <c r="AB37" s="179" t="str">
        <f>R6</f>
        <v>Aries</v>
      </c>
      <c r="AC37" s="174"/>
      <c r="AD37" s="23"/>
      <c r="AE37" s="159"/>
      <c r="AF37" s="178" t="s">
        <v>718</v>
      </c>
      <c r="AG37" s="179" t="str">
        <f>IFERROR(VLOOKUP(D9&amp;"-"&amp;G9, Degree_Spark_DataBase[[Helper]:[Decan Planets]], 3, 0),"Not Found")</f>
        <v>Gemini</v>
      </c>
      <c r="AH37" s="160"/>
      <c r="AI37" s="159"/>
      <c r="AJ37" s="23"/>
      <c r="AK37" s="23"/>
      <c r="AL37" s="23"/>
      <c r="AM37" s="23"/>
      <c r="AN37" s="23"/>
      <c r="AO37" s="23"/>
      <c r="AP37" s="23"/>
      <c r="AQ37" s="23"/>
      <c r="AR37" s="23"/>
      <c r="AS37" s="23"/>
      <c r="AT37" s="23"/>
      <c r="AU37" s="23"/>
      <c r="AV37" s="23"/>
      <c r="AW37" s="23"/>
      <c r="AX37" s="23"/>
      <c r="AY37" s="23"/>
      <c r="AZ37" s="23"/>
      <c r="BA37" s="23"/>
      <c r="BB37" s="23"/>
      <c r="BC37" s="23"/>
      <c r="BD37" s="23"/>
    </row>
    <row r="38" spans="1:56" s="68" customFormat="1" ht="15.75" thickBot="1" x14ac:dyDescent="0.3">
      <c r="A38" s="23"/>
      <c r="B38" s="23"/>
      <c r="C38" s="273"/>
      <c r="D38" s="274"/>
      <c r="E38" s="274"/>
      <c r="F38" s="274"/>
      <c r="G38" s="274"/>
      <c r="H38" s="274"/>
      <c r="I38" s="274"/>
      <c r="J38" s="274"/>
      <c r="K38" s="274"/>
      <c r="L38" s="274"/>
      <c r="M38" s="274"/>
      <c r="N38" s="274"/>
      <c r="O38" s="274"/>
      <c r="P38" s="274"/>
      <c r="Q38" s="274"/>
      <c r="R38" s="274"/>
      <c r="S38" s="275"/>
      <c r="T38" s="121"/>
      <c r="U38" s="121"/>
      <c r="V38" s="121"/>
      <c r="W38" s="23"/>
      <c r="X38" s="23"/>
      <c r="Y38" s="23"/>
      <c r="Z38" s="173"/>
      <c r="AA38" s="178" t="s">
        <v>720</v>
      </c>
      <c r="AB38" s="179" t="str">
        <f>T5</f>
        <v>Sagittarius</v>
      </c>
      <c r="AC38" s="174"/>
      <c r="AD38" s="23"/>
      <c r="AE38" s="159"/>
      <c r="AF38" s="178" t="s">
        <v>720</v>
      </c>
      <c r="AG38" s="179" t="str">
        <f>IFERROR(VLOOKUP(E9&amp;"-"&amp;G9&amp;"-"&amp;I5, TruePlacement_DataBase1[[Helper]:[Sign3]], 4,FALSE), "")</f>
        <v>Aquarius</v>
      </c>
      <c r="AH38" s="160"/>
      <c r="AI38" s="159"/>
      <c r="AJ38" s="180" t="s">
        <v>746</v>
      </c>
      <c r="AK38" s="23"/>
      <c r="AL38" s="23"/>
      <c r="AM38" s="23"/>
      <c r="AN38" s="23"/>
      <c r="AO38" s="23"/>
      <c r="AP38" s="23"/>
      <c r="AQ38" s="23"/>
      <c r="AR38" s="23"/>
      <c r="AS38" s="23"/>
      <c r="AT38" s="23"/>
      <c r="AU38" s="23"/>
      <c r="AV38" s="23"/>
      <c r="AW38" s="23"/>
      <c r="AX38" s="23"/>
      <c r="AY38" s="23"/>
      <c r="AZ38" s="23"/>
      <c r="BA38" s="23"/>
      <c r="BB38" s="23"/>
      <c r="BC38" s="23"/>
      <c r="BD38" s="23"/>
    </row>
    <row r="39" spans="1:56" s="68" customFormat="1" x14ac:dyDescent="0.25">
      <c r="A39" s="23"/>
      <c r="B39" s="23"/>
      <c r="C39" s="273"/>
      <c r="D39" s="274"/>
      <c r="E39" s="274"/>
      <c r="F39" s="274"/>
      <c r="G39" s="274"/>
      <c r="H39" s="274"/>
      <c r="I39" s="274"/>
      <c r="J39" s="274"/>
      <c r="K39" s="274"/>
      <c r="L39" s="274"/>
      <c r="M39" s="274"/>
      <c r="N39" s="274"/>
      <c r="O39" s="274"/>
      <c r="P39" s="274"/>
      <c r="Q39" s="274"/>
      <c r="R39" s="274"/>
      <c r="S39" s="275"/>
      <c r="T39" s="121"/>
      <c r="U39" s="121"/>
      <c r="V39" s="121"/>
      <c r="W39" s="23"/>
      <c r="X39" s="23"/>
      <c r="Y39" s="23"/>
      <c r="Z39" s="252" t="s">
        <v>721</v>
      </c>
      <c r="AA39" s="180" t="s">
        <v>723</v>
      </c>
      <c r="AB39" s="179" t="str">
        <f>V6</f>
        <v>Gemini</v>
      </c>
      <c r="AC39" s="174"/>
      <c r="AD39" s="23"/>
      <c r="AE39" s="323" t="s">
        <v>721</v>
      </c>
      <c r="AF39" s="180" t="s">
        <v>723</v>
      </c>
      <c r="AG39" s="179" t="str">
        <f>IFERROR(VLOOKUP(E9&amp;"-"&amp;G9&amp;"-"&amp;I5, TruePlacement_DataBase1[[Helper]:[Sign3]], 6,FALSE), "")</f>
        <v>Aries</v>
      </c>
      <c r="AH39" s="160"/>
      <c r="AI39" s="159"/>
      <c r="AJ39" s="180" t="s">
        <v>745</v>
      </c>
      <c r="AK39" s="23"/>
      <c r="AL39" s="23"/>
      <c r="AM39" s="23"/>
      <c r="AN39" s="23"/>
      <c r="AO39" s="23"/>
      <c r="AP39" s="23"/>
      <c r="AQ39" s="23"/>
      <c r="AR39" s="23"/>
      <c r="AS39" s="23"/>
      <c r="AT39" s="23"/>
      <c r="AU39" s="23"/>
      <c r="AV39" s="23"/>
      <c r="AW39" s="23"/>
      <c r="AX39" s="23"/>
      <c r="AY39" s="23"/>
      <c r="AZ39" s="23"/>
      <c r="BA39" s="23"/>
      <c r="BB39" s="23"/>
      <c r="BC39" s="23"/>
      <c r="BD39" s="23"/>
    </row>
    <row r="40" spans="1:56" s="68" customFormat="1" ht="15.75" thickBot="1" x14ac:dyDescent="0.3">
      <c r="A40" s="23"/>
      <c r="B40" s="23"/>
      <c r="C40" s="273"/>
      <c r="D40" s="274"/>
      <c r="E40" s="274"/>
      <c r="F40" s="274"/>
      <c r="G40" s="274"/>
      <c r="H40" s="274"/>
      <c r="I40" s="274"/>
      <c r="J40" s="274"/>
      <c r="K40" s="274"/>
      <c r="L40" s="274"/>
      <c r="M40" s="274"/>
      <c r="N40" s="274"/>
      <c r="O40" s="274"/>
      <c r="P40" s="274"/>
      <c r="Q40" s="274"/>
      <c r="R40" s="274"/>
      <c r="S40" s="275"/>
      <c r="T40" s="121"/>
      <c r="U40" s="121"/>
      <c r="V40" s="121"/>
      <c r="W40" s="23"/>
      <c r="X40" s="23"/>
      <c r="Y40" s="23"/>
      <c r="Z40" s="253"/>
      <c r="AA40" s="180" t="s">
        <v>722</v>
      </c>
      <c r="AB40" s="179" t="str">
        <f>V7</f>
        <v>Aquarius</v>
      </c>
      <c r="AC40" s="174"/>
      <c r="AD40" s="23"/>
      <c r="AE40" s="324"/>
      <c r="AF40" s="180" t="s">
        <v>722</v>
      </c>
      <c r="AG40" s="179" t="str">
        <f>IFERROR(VLOOKUP(E9&amp;"-"&amp;G9&amp;"-"&amp;I5, TruePlacement_DataBase1[[Helper]:[Sign5]], 7,0), "")</f>
        <v>Sagittarius</v>
      </c>
      <c r="AH40" s="160"/>
      <c r="AI40" s="159"/>
      <c r="AJ40" s="180" t="s">
        <v>738</v>
      </c>
      <c r="AK40" s="23"/>
      <c r="AL40" s="23"/>
      <c r="AM40" s="23"/>
      <c r="AN40" s="23"/>
      <c r="AO40" s="23"/>
      <c r="AP40" s="23"/>
      <c r="AQ40" s="23"/>
      <c r="AR40" s="23"/>
      <c r="AS40" s="23"/>
      <c r="AT40" s="23"/>
      <c r="AU40" s="23"/>
      <c r="AV40" s="23"/>
      <c r="AW40" s="23"/>
      <c r="AX40" s="23"/>
      <c r="AY40" s="23"/>
      <c r="AZ40" s="23"/>
      <c r="BA40" s="23"/>
      <c r="BB40" s="23"/>
      <c r="BC40" s="23"/>
      <c r="BD40" s="23"/>
    </row>
    <row r="41" spans="1:56" s="68" customFormat="1" ht="15.75" thickBot="1" x14ac:dyDescent="0.3">
      <c r="A41" s="23"/>
      <c r="B41" s="23"/>
      <c r="C41" s="276"/>
      <c r="D41" s="277"/>
      <c r="E41" s="277"/>
      <c r="F41" s="277"/>
      <c r="G41" s="277"/>
      <c r="H41" s="277"/>
      <c r="I41" s="277"/>
      <c r="J41" s="277"/>
      <c r="K41" s="277"/>
      <c r="L41" s="277"/>
      <c r="M41" s="277"/>
      <c r="N41" s="277"/>
      <c r="O41" s="277"/>
      <c r="P41" s="277"/>
      <c r="Q41" s="277"/>
      <c r="R41" s="277"/>
      <c r="S41" s="278"/>
      <c r="T41" s="121"/>
      <c r="U41" s="121"/>
      <c r="V41" s="121"/>
      <c r="W41" s="23"/>
      <c r="X41" s="23"/>
      <c r="Y41" s="23"/>
      <c r="Z41" s="253" t="s">
        <v>724</v>
      </c>
      <c r="AA41" s="181" t="s">
        <v>723</v>
      </c>
      <c r="AB41" s="179">
        <f>W6</f>
        <v>0</v>
      </c>
      <c r="AC41" s="174"/>
      <c r="AD41" s="23"/>
      <c r="AE41" s="324" t="s">
        <v>724</v>
      </c>
      <c r="AF41" s="181" t="s">
        <v>723</v>
      </c>
      <c r="AG41" s="179">
        <f>IFERROR(VLOOKUP(E9&amp;"-"&amp;G9&amp;"-"&amp;I5, TruePlacement_DataBase1[[Helper]:[Sign6]], 9, 0), "")</f>
        <v>0</v>
      </c>
      <c r="AH41" s="160"/>
      <c r="AI41" s="159"/>
      <c r="AJ41" s="180" t="s">
        <v>747</v>
      </c>
      <c r="AK41" s="23"/>
      <c r="AL41" s="23"/>
      <c r="AM41" s="23"/>
      <c r="AN41" s="23"/>
      <c r="AO41" s="23"/>
      <c r="AP41" s="23"/>
      <c r="AQ41" s="23"/>
      <c r="AR41" s="23"/>
      <c r="AS41" s="23"/>
      <c r="AT41" s="23"/>
      <c r="AU41" s="23"/>
      <c r="AV41" s="23"/>
      <c r="AW41" s="23"/>
      <c r="AX41" s="23"/>
      <c r="AY41" s="23"/>
      <c r="AZ41" s="23"/>
      <c r="BA41" s="23"/>
      <c r="BB41" s="23"/>
      <c r="BC41" s="23"/>
      <c r="BD41" s="23"/>
    </row>
    <row r="42" spans="1:56" s="68" customFormat="1" ht="16.5" thickTop="1" thickBot="1" x14ac:dyDescent="0.3">
      <c r="A42" s="23"/>
      <c r="B42" s="23"/>
      <c r="C42" s="121"/>
      <c r="D42" s="121"/>
      <c r="E42" s="121"/>
      <c r="F42" s="121"/>
      <c r="G42" s="121"/>
      <c r="H42" s="121"/>
      <c r="I42" s="121"/>
      <c r="J42" s="121"/>
      <c r="K42" s="121"/>
      <c r="L42" s="121"/>
      <c r="M42" s="121"/>
      <c r="N42" s="121"/>
      <c r="O42" s="121"/>
      <c r="P42" s="121"/>
      <c r="Q42" s="121"/>
      <c r="R42" s="121"/>
      <c r="S42" s="121"/>
      <c r="T42" s="121"/>
      <c r="U42" s="121"/>
      <c r="V42" s="121"/>
      <c r="W42" s="23"/>
      <c r="X42" s="23"/>
      <c r="Y42" s="23"/>
      <c r="Z42" s="254"/>
      <c r="AA42" s="182" t="s">
        <v>722</v>
      </c>
      <c r="AB42" s="179" t="str">
        <f>W7</f>
        <v/>
      </c>
      <c r="AC42" s="174"/>
      <c r="AD42" s="23"/>
      <c r="AE42" s="325"/>
      <c r="AF42" s="182" t="s">
        <v>722</v>
      </c>
      <c r="AG42" s="179" t="str">
        <f>IFERROR(VLOOKUP(E9&amp;"-"&amp;G9&amp;"-"&amp;I5, TruePlacement_DataBase2[[Helper]:[Sign5]], 10,0), "")</f>
        <v/>
      </c>
      <c r="AH42" s="160"/>
      <c r="AI42" s="159"/>
      <c r="AJ42" s="23"/>
      <c r="AK42" s="23"/>
      <c r="AL42" s="23"/>
      <c r="AM42" s="23"/>
      <c r="AN42" s="23"/>
      <c r="AO42" s="23"/>
      <c r="AP42" s="23"/>
      <c r="AQ42" s="23"/>
      <c r="AR42" s="23"/>
      <c r="AS42" s="23"/>
      <c r="AT42" s="23"/>
      <c r="AU42" s="23"/>
      <c r="AV42" s="23"/>
      <c r="AW42" s="23"/>
      <c r="AX42" s="23"/>
      <c r="AY42" s="23"/>
      <c r="AZ42" s="23"/>
      <c r="BA42" s="23"/>
      <c r="BB42" s="23"/>
      <c r="BC42" s="23"/>
      <c r="BD42" s="23"/>
    </row>
    <row r="43" spans="1:56" s="68" customFormat="1" x14ac:dyDescent="0.25">
      <c r="A43" s="23"/>
      <c r="B43" s="23"/>
      <c r="C43" s="121"/>
      <c r="D43" s="121"/>
      <c r="E43" s="121"/>
      <c r="F43" s="121"/>
      <c r="G43" s="121"/>
      <c r="H43" s="121"/>
      <c r="I43" s="121"/>
      <c r="J43" s="121"/>
      <c r="K43" s="121"/>
      <c r="L43" s="121"/>
      <c r="M43" s="121"/>
      <c r="N43" s="121"/>
      <c r="O43" s="121"/>
      <c r="P43" s="121"/>
      <c r="Q43" s="121"/>
      <c r="R43" s="121"/>
      <c r="S43" s="121"/>
      <c r="T43" s="121"/>
      <c r="U43" s="121"/>
      <c r="V43" s="121"/>
      <c r="W43" s="23"/>
      <c r="X43" s="23"/>
      <c r="Y43" s="23"/>
      <c r="Z43" s="206"/>
      <c r="AA43" s="319" t="s">
        <v>738</v>
      </c>
      <c r="AB43" s="316">
        <f>VLOOKUP(AB34,Seznami!N2:O12, 2, 0)</f>
        <v>1</v>
      </c>
      <c r="AC43" s="174"/>
      <c r="AD43" s="23"/>
      <c r="AE43" s="129"/>
      <c r="AF43" s="319" t="s">
        <v>738</v>
      </c>
      <c r="AG43" s="316">
        <f>VLOOKUP(AG34,Seznami!N2:O12, 2, 0)</f>
        <v>1</v>
      </c>
      <c r="AH43" s="160"/>
      <c r="AI43" s="159"/>
      <c r="AJ43" s="23"/>
      <c r="AK43" s="23"/>
      <c r="AL43" s="23"/>
      <c r="AM43" s="23"/>
      <c r="AN43" s="23"/>
      <c r="AO43" s="23"/>
      <c r="AP43" s="23"/>
      <c r="AQ43" s="23"/>
      <c r="AR43" s="23"/>
      <c r="AS43" s="23"/>
      <c r="AT43" s="23"/>
      <c r="AU43" s="23"/>
      <c r="AV43" s="23"/>
      <c r="AW43" s="23"/>
      <c r="AX43" s="23"/>
      <c r="AY43" s="23"/>
      <c r="AZ43" s="23"/>
      <c r="BA43" s="23"/>
      <c r="BB43" s="23"/>
      <c r="BC43" s="23"/>
      <c r="BD43" s="23"/>
    </row>
    <row r="44" spans="1:56" s="68" customFormat="1" ht="15.75" thickBot="1" x14ac:dyDescent="0.3">
      <c r="A44" s="23"/>
      <c r="B44" s="23"/>
      <c r="C44" s="121"/>
      <c r="D44" s="121"/>
      <c r="E44" s="121"/>
      <c r="F44" s="121"/>
      <c r="G44" s="121"/>
      <c r="H44" s="121"/>
      <c r="I44" s="121"/>
      <c r="J44" s="121"/>
      <c r="K44" s="121"/>
      <c r="L44" s="121"/>
      <c r="M44" s="121"/>
      <c r="N44" s="121"/>
      <c r="O44" s="121"/>
      <c r="P44" s="121"/>
      <c r="Q44" s="121"/>
      <c r="R44" s="121"/>
      <c r="S44" s="121"/>
      <c r="T44" s="121"/>
      <c r="U44" s="23"/>
      <c r="V44" s="23"/>
      <c r="W44" s="23"/>
      <c r="X44" s="23"/>
      <c r="Y44" s="23"/>
      <c r="Z44" s="207"/>
      <c r="AA44" s="317"/>
      <c r="AB44" s="317"/>
      <c r="AC44" s="177"/>
      <c r="AD44" s="23"/>
      <c r="AE44" s="157"/>
      <c r="AF44" s="318"/>
      <c r="AG44" s="318"/>
      <c r="AH44" s="158"/>
      <c r="AI44" s="159"/>
      <c r="AJ44" s="23"/>
      <c r="AK44" s="23"/>
      <c r="AL44" s="23"/>
      <c r="AM44" s="23"/>
      <c r="AN44" s="23"/>
      <c r="AO44" s="23"/>
      <c r="AP44" s="23"/>
      <c r="AQ44" s="23"/>
      <c r="AR44" s="23"/>
      <c r="AS44" s="23"/>
      <c r="AT44" s="23"/>
      <c r="AU44" s="23"/>
      <c r="AV44" s="23"/>
      <c r="AW44" s="23"/>
      <c r="AX44" s="23"/>
      <c r="AY44" s="23"/>
      <c r="AZ44" s="23"/>
      <c r="BA44" s="23"/>
      <c r="BB44" s="23"/>
      <c r="BC44" s="23"/>
      <c r="BD44" s="23"/>
    </row>
    <row r="45" spans="1:56" s="68" customFormat="1" x14ac:dyDescent="0.25">
      <c r="A45" s="23"/>
      <c r="B45" s="23"/>
      <c r="C45" s="121"/>
      <c r="D45" s="121"/>
      <c r="E45" s="121"/>
      <c r="F45" s="121"/>
      <c r="G45" s="121"/>
      <c r="H45" s="121"/>
      <c r="I45" s="121"/>
      <c r="J45" s="121"/>
      <c r="K45" s="121"/>
      <c r="L45" s="121"/>
      <c r="M45" s="121"/>
      <c r="N45" s="121"/>
      <c r="O45" s="121"/>
      <c r="P45" s="121"/>
      <c r="Q45" s="121"/>
      <c r="R45" s="121"/>
      <c r="S45" s="121"/>
      <c r="T45" s="121"/>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row>
    <row r="46" spans="1:56" s="23" customFormat="1" x14ac:dyDescent="0.25"/>
    <row r="47" spans="1:56" s="23" customFormat="1" x14ac:dyDescent="0.25"/>
    <row r="48" spans="1:56" s="23" customFormat="1" x14ac:dyDescent="0.25"/>
    <row r="49" spans="2:27" s="23" customFormat="1" x14ac:dyDescent="0.25">
      <c r="D49" s="29"/>
    </row>
    <row r="50" spans="2:27" s="23" customFormat="1" x14ac:dyDescent="0.25">
      <c r="D50" s="27"/>
      <c r="E50" s="27"/>
    </row>
    <row r="51" spans="2:27" s="23" customFormat="1" x14ac:dyDescent="0.25">
      <c r="H51" s="161"/>
      <c r="I51" s="161"/>
      <c r="J51" s="161"/>
      <c r="K51" s="161"/>
      <c r="L51" s="161"/>
      <c r="M51" s="161"/>
      <c r="N51" s="161"/>
      <c r="O51" s="161"/>
      <c r="P51" s="161"/>
      <c r="Q51" s="161"/>
      <c r="R51" s="161"/>
      <c r="S51" s="161"/>
      <c r="T51" s="161"/>
      <c r="U51" s="161"/>
      <c r="V51" s="161"/>
      <c r="W51" s="161"/>
      <c r="X51" s="161"/>
      <c r="Y51" s="161"/>
      <c r="Z51" s="161"/>
      <c r="AA51" s="161"/>
    </row>
    <row r="52" spans="2:27" s="23" customFormat="1" x14ac:dyDescent="0.25">
      <c r="H52" s="161"/>
      <c r="I52" s="161"/>
      <c r="J52" s="161"/>
      <c r="K52" s="161"/>
      <c r="L52" s="161"/>
      <c r="M52" s="161"/>
      <c r="N52" s="161"/>
      <c r="O52" s="161"/>
      <c r="P52" s="161"/>
      <c r="Q52" s="161"/>
      <c r="R52" s="161"/>
      <c r="S52" s="161"/>
      <c r="T52" s="161"/>
      <c r="U52" s="161"/>
      <c r="V52" s="161"/>
      <c r="W52" s="161"/>
      <c r="X52" s="161"/>
      <c r="Y52" s="161"/>
      <c r="Z52" s="161"/>
      <c r="AA52" s="161"/>
    </row>
    <row r="53" spans="2:27" s="23" customFormat="1" x14ac:dyDescent="0.25">
      <c r="C53" s="27"/>
      <c r="D53" s="27"/>
      <c r="E53" s="27"/>
      <c r="F53" s="27"/>
      <c r="G53" s="27"/>
      <c r="H53" s="162" t="s">
        <v>713</v>
      </c>
      <c r="I53" s="279" t="s">
        <v>139</v>
      </c>
      <c r="J53" s="304"/>
      <c r="K53" s="162" t="s">
        <v>696</v>
      </c>
      <c r="L53" s="279" t="s">
        <v>138</v>
      </c>
      <c r="M53" s="279"/>
      <c r="N53" s="279"/>
      <c r="O53" s="162"/>
      <c r="P53" s="162" t="s">
        <v>713</v>
      </c>
      <c r="Q53" s="280" t="s">
        <v>138</v>
      </c>
      <c r="R53" s="280"/>
      <c r="S53" s="162" t="s">
        <v>714</v>
      </c>
      <c r="T53" s="279" t="s">
        <v>139</v>
      </c>
      <c r="U53" s="279"/>
      <c r="V53" s="279"/>
      <c r="W53" s="279" t="s">
        <v>715</v>
      </c>
      <c r="X53" s="279"/>
      <c r="Y53" s="279" t="s">
        <v>138</v>
      </c>
      <c r="Z53" s="279"/>
      <c r="AA53" s="161"/>
    </row>
    <row r="54" spans="2:27" s="23" customFormat="1" ht="14.25" customHeight="1" thickBot="1" x14ac:dyDescent="0.3"/>
    <row r="55" spans="2:27" s="23" customFormat="1" ht="23.25" customHeight="1" thickBot="1" x14ac:dyDescent="0.3">
      <c r="B55" s="133"/>
      <c r="C55" s="130"/>
      <c r="D55" s="130"/>
      <c r="E55" s="130"/>
      <c r="F55" s="130"/>
      <c r="G55" s="130"/>
      <c r="H55" s="130"/>
      <c r="I55" s="130"/>
      <c r="J55" s="130"/>
      <c r="K55" s="130"/>
      <c r="L55" s="130"/>
      <c r="M55" s="130"/>
      <c r="N55" s="130"/>
      <c r="O55" s="130"/>
      <c r="P55" s="130"/>
      <c r="Q55" s="130"/>
      <c r="R55" s="130"/>
      <c r="S55" s="130"/>
      <c r="T55" s="131"/>
      <c r="U55" s="131"/>
      <c r="V55" s="131"/>
      <c r="W55" s="131"/>
      <c r="X55" s="131"/>
      <c r="Y55" s="131"/>
      <c r="Z55" s="131"/>
      <c r="AA55" s="132"/>
    </row>
    <row r="56" spans="2:27" s="23" customFormat="1" ht="25.5" customHeight="1" thickTop="1" x14ac:dyDescent="0.25">
      <c r="B56" s="134"/>
      <c r="C56" s="288" t="s">
        <v>133</v>
      </c>
      <c r="D56" s="289"/>
      <c r="E56" s="145"/>
      <c r="F56" s="288" t="s">
        <v>153</v>
      </c>
      <c r="G56" s="289"/>
      <c r="H56" s="145"/>
      <c r="I56" s="288" t="s">
        <v>60</v>
      </c>
      <c r="J56" s="289"/>
      <c r="K56" s="145"/>
      <c r="L56" s="288" t="s">
        <v>153</v>
      </c>
      <c r="M56" s="290"/>
      <c r="N56" s="289"/>
      <c r="O56" s="145"/>
      <c r="P56" s="145"/>
      <c r="Q56" s="288" t="s">
        <v>60</v>
      </c>
      <c r="R56" s="289"/>
      <c r="S56" s="142"/>
      <c r="T56" s="288" t="s">
        <v>153</v>
      </c>
      <c r="U56" s="290"/>
      <c r="V56" s="289"/>
      <c r="W56" s="143"/>
      <c r="X56" s="143"/>
      <c r="Y56" s="288" t="s">
        <v>60</v>
      </c>
      <c r="Z56" s="289"/>
      <c r="AA56" s="144"/>
    </row>
    <row r="57" spans="2:27" s="23" customFormat="1" ht="26.25" customHeight="1" thickBot="1" x14ac:dyDescent="0.3">
      <c r="B57" s="134"/>
      <c r="C57" s="283" t="str">
        <f>L5</f>
        <v>URANUS</v>
      </c>
      <c r="D57" s="284"/>
      <c r="E57" s="140"/>
      <c r="F57" s="283" t="str">
        <f>V6</f>
        <v>Gemini</v>
      </c>
      <c r="G57" s="284"/>
      <c r="H57" s="140"/>
      <c r="I57" s="283" t="str">
        <f>V7</f>
        <v>Aquarius</v>
      </c>
      <c r="J57" s="284"/>
      <c r="K57" s="140"/>
      <c r="L57" s="285">
        <f>W6</f>
        <v>0</v>
      </c>
      <c r="M57" s="286"/>
      <c r="N57" s="287"/>
      <c r="O57" s="146"/>
      <c r="P57" s="146"/>
      <c r="Q57" s="285" t="str">
        <f>W7</f>
        <v/>
      </c>
      <c r="R57" s="287"/>
      <c r="S57" s="142"/>
      <c r="T57" s="285" t="str">
        <f>N5</f>
        <v>Aries</v>
      </c>
      <c r="U57" s="286"/>
      <c r="V57" s="287"/>
      <c r="W57" s="143"/>
      <c r="X57" s="143"/>
      <c r="Y57" s="285" t="str">
        <f>T5</f>
        <v>Sagittarius</v>
      </c>
      <c r="Z57" s="287"/>
      <c r="AA57" s="144"/>
    </row>
    <row r="58" spans="2:27" s="23" customFormat="1" ht="17.25" customHeight="1" thickTop="1" x14ac:dyDescent="0.25">
      <c r="B58" s="134"/>
      <c r="C58" s="140"/>
      <c r="D58" s="140"/>
      <c r="E58" s="140"/>
      <c r="F58" s="140"/>
      <c r="G58" s="140"/>
      <c r="H58" s="140"/>
      <c r="I58" s="140"/>
      <c r="J58" s="140"/>
      <c r="K58" s="140"/>
      <c r="L58" s="141"/>
      <c r="M58" s="141"/>
      <c r="N58" s="141"/>
      <c r="O58" s="141"/>
      <c r="P58" s="141"/>
      <c r="Q58" s="141"/>
      <c r="R58" s="141"/>
      <c r="S58" s="142"/>
      <c r="T58" s="143"/>
      <c r="U58" s="143"/>
      <c r="V58" s="143"/>
      <c r="W58" s="143"/>
      <c r="X58" s="143"/>
      <c r="Y58" s="143"/>
      <c r="Z58" s="143"/>
      <c r="AA58" s="144"/>
    </row>
    <row r="59" spans="2:27" s="23" customFormat="1" ht="30.75" customHeight="1" x14ac:dyDescent="0.25">
      <c r="B59" s="135"/>
      <c r="C59" s="281" t="s">
        <v>239</v>
      </c>
      <c r="D59" s="282"/>
      <c r="E59" s="76" t="s">
        <v>148</v>
      </c>
      <c r="F59" s="282" t="s">
        <v>434</v>
      </c>
      <c r="G59" s="282"/>
      <c r="H59" s="76" t="s">
        <v>150</v>
      </c>
      <c r="I59" s="282" t="s">
        <v>238</v>
      </c>
      <c r="J59" s="282"/>
      <c r="K59" s="76" t="s">
        <v>141</v>
      </c>
      <c r="L59" s="282" t="s">
        <v>556</v>
      </c>
      <c r="M59" s="282"/>
      <c r="N59" s="282"/>
      <c r="O59" s="306" t="s">
        <v>150</v>
      </c>
      <c r="P59" s="306"/>
      <c r="Q59" s="282" t="s">
        <v>368</v>
      </c>
      <c r="R59" s="282"/>
      <c r="S59" s="76" t="s">
        <v>152</v>
      </c>
      <c r="T59" s="305" t="s">
        <v>654</v>
      </c>
      <c r="U59" s="305"/>
      <c r="V59" s="305"/>
      <c r="W59" s="306" t="s">
        <v>154</v>
      </c>
      <c r="X59" s="306"/>
      <c r="Y59" s="305" t="s">
        <v>452</v>
      </c>
      <c r="Z59" s="307"/>
      <c r="AA59" s="144"/>
    </row>
    <row r="60" spans="2:27" s="23" customFormat="1" ht="18" customHeight="1" thickBot="1" x14ac:dyDescent="0.3">
      <c r="B60" s="136"/>
      <c r="C60" s="137"/>
      <c r="D60" s="137"/>
      <c r="E60" s="137"/>
      <c r="F60" s="137"/>
      <c r="G60" s="137"/>
      <c r="H60" s="137"/>
      <c r="I60" s="137"/>
      <c r="J60" s="137"/>
      <c r="K60" s="137"/>
      <c r="L60" s="138"/>
      <c r="M60" s="138"/>
      <c r="N60" s="138"/>
      <c r="O60" s="138"/>
      <c r="P60" s="138"/>
      <c r="Q60" s="138"/>
      <c r="R60" s="138"/>
      <c r="S60" s="138"/>
      <c r="T60" s="138"/>
      <c r="U60" s="138"/>
      <c r="V60" s="138"/>
      <c r="W60" s="138"/>
      <c r="X60" s="138"/>
      <c r="Y60" s="138"/>
      <c r="Z60" s="138"/>
      <c r="AA60" s="139"/>
    </row>
    <row r="61" spans="2:27" s="23" customFormat="1" x14ac:dyDescent="0.25"/>
    <row r="62" spans="2:27" s="23" customFormat="1" ht="25.5" customHeight="1" x14ac:dyDescent="0.25">
      <c r="C62" s="264" t="s">
        <v>63</v>
      </c>
      <c r="D62" s="265"/>
      <c r="E62" s="111"/>
      <c r="F62" s="111"/>
    </row>
    <row r="63" spans="2:27" s="23" customFormat="1" ht="25.5" customHeight="1" x14ac:dyDescent="0.25">
      <c r="C63" s="266" t="str">
        <f>P6</f>
        <v>Libra</v>
      </c>
      <c r="D63" s="267"/>
      <c r="E63" s="268"/>
      <c r="F63" s="269"/>
      <c r="I63" s="246"/>
      <c r="J63" s="247"/>
      <c r="K63" s="247"/>
      <c r="L63" s="247"/>
      <c r="M63" s="247"/>
      <c r="N63" s="247"/>
      <c r="O63" s="247"/>
      <c r="P63" s="247"/>
      <c r="Q63" s="247"/>
      <c r="R63" s="247"/>
      <c r="S63" s="247"/>
      <c r="T63" s="247"/>
      <c r="U63" s="247"/>
      <c r="V63" s="248"/>
    </row>
    <row r="64" spans="2:27" s="23" customFormat="1" ht="25.5" customHeight="1" x14ac:dyDescent="0.25">
      <c r="C64" s="111"/>
      <c r="D64" s="111"/>
      <c r="E64" s="112"/>
      <c r="F64" s="112"/>
      <c r="I64" s="249"/>
      <c r="J64" s="250"/>
      <c r="K64" s="250"/>
      <c r="L64" s="250"/>
      <c r="M64" s="250"/>
      <c r="N64" s="250"/>
      <c r="O64" s="250"/>
      <c r="P64" s="250"/>
      <c r="Q64" s="250"/>
      <c r="R64" s="250"/>
      <c r="S64" s="250"/>
      <c r="T64" s="250"/>
      <c r="U64" s="250"/>
      <c r="V64" s="251"/>
    </row>
    <row r="65" spans="3:22" s="23" customFormat="1" ht="25.5" customHeight="1" x14ac:dyDescent="0.25">
      <c r="C65" s="264" t="s">
        <v>704</v>
      </c>
      <c r="D65" s="265"/>
      <c r="E65" s="112"/>
      <c r="F65" s="112"/>
    </row>
    <row r="66" spans="3:22" s="23" customFormat="1" ht="25.5" customHeight="1" x14ac:dyDescent="0.25">
      <c r="C66" s="266" t="str">
        <f>R6</f>
        <v>Aries</v>
      </c>
      <c r="D66" s="267"/>
      <c r="E66" s="268"/>
      <c r="F66" s="269"/>
    </row>
    <row r="67" spans="3:22" s="23" customFormat="1" x14ac:dyDescent="0.25">
      <c r="I67" s="237"/>
      <c r="J67" s="238"/>
      <c r="K67" s="238"/>
      <c r="L67" s="238"/>
      <c r="M67" s="238"/>
      <c r="N67" s="238"/>
      <c r="O67" s="238"/>
      <c r="P67" s="238"/>
      <c r="Q67" s="238"/>
      <c r="R67" s="238"/>
      <c r="S67" s="238"/>
      <c r="T67" s="238"/>
      <c r="U67" s="238"/>
      <c r="V67" s="239"/>
    </row>
    <row r="68" spans="3:22" s="23" customFormat="1" x14ac:dyDescent="0.25">
      <c r="I68" s="240"/>
      <c r="J68" s="241"/>
      <c r="K68" s="241"/>
      <c r="L68" s="241"/>
      <c r="M68" s="241"/>
      <c r="N68" s="241"/>
      <c r="O68" s="241"/>
      <c r="P68" s="241"/>
      <c r="Q68" s="241"/>
      <c r="R68" s="241"/>
      <c r="S68" s="241"/>
      <c r="T68" s="241"/>
      <c r="U68" s="241"/>
      <c r="V68" s="242"/>
    </row>
    <row r="69" spans="3:22" s="23" customFormat="1" x14ac:dyDescent="0.25">
      <c r="I69" s="240"/>
      <c r="J69" s="241"/>
      <c r="K69" s="241"/>
      <c r="L69" s="241"/>
      <c r="M69" s="241"/>
      <c r="N69" s="241"/>
      <c r="O69" s="241"/>
      <c r="P69" s="241"/>
      <c r="Q69" s="241"/>
      <c r="R69" s="241"/>
      <c r="S69" s="241"/>
      <c r="T69" s="241"/>
      <c r="U69" s="241"/>
      <c r="V69" s="242"/>
    </row>
    <row r="70" spans="3:22" s="23" customFormat="1" x14ac:dyDescent="0.25">
      <c r="I70" s="240"/>
      <c r="J70" s="241"/>
      <c r="K70" s="241"/>
      <c r="L70" s="241"/>
      <c r="M70" s="241"/>
      <c r="N70" s="241"/>
      <c r="O70" s="241"/>
      <c r="P70" s="241"/>
      <c r="Q70" s="241"/>
      <c r="R70" s="241"/>
      <c r="S70" s="241"/>
      <c r="T70" s="241"/>
      <c r="U70" s="241"/>
      <c r="V70" s="242"/>
    </row>
    <row r="71" spans="3:22" s="23" customFormat="1" x14ac:dyDescent="0.25">
      <c r="I71" s="240"/>
      <c r="J71" s="241"/>
      <c r="K71" s="241"/>
      <c r="L71" s="241"/>
      <c r="M71" s="241"/>
      <c r="N71" s="241"/>
      <c r="O71" s="241"/>
      <c r="P71" s="241"/>
      <c r="Q71" s="241"/>
      <c r="R71" s="241"/>
      <c r="S71" s="241"/>
      <c r="T71" s="241"/>
      <c r="U71" s="241"/>
      <c r="V71" s="242"/>
    </row>
    <row r="72" spans="3:22" s="23" customFormat="1" x14ac:dyDescent="0.25">
      <c r="I72" s="240"/>
      <c r="J72" s="241"/>
      <c r="K72" s="241"/>
      <c r="L72" s="241"/>
      <c r="M72" s="241"/>
      <c r="N72" s="241"/>
      <c r="O72" s="241"/>
      <c r="P72" s="241"/>
      <c r="Q72" s="241"/>
      <c r="R72" s="241"/>
      <c r="S72" s="241"/>
      <c r="T72" s="241"/>
      <c r="U72" s="241"/>
      <c r="V72" s="242"/>
    </row>
    <row r="73" spans="3:22" s="23" customFormat="1" x14ac:dyDescent="0.25">
      <c r="I73" s="240"/>
      <c r="J73" s="241"/>
      <c r="K73" s="241"/>
      <c r="L73" s="241"/>
      <c r="M73" s="241"/>
      <c r="N73" s="241"/>
      <c r="O73" s="241"/>
      <c r="P73" s="241"/>
      <c r="Q73" s="241"/>
      <c r="R73" s="241"/>
      <c r="S73" s="241"/>
      <c r="T73" s="241"/>
      <c r="U73" s="241"/>
      <c r="V73" s="242"/>
    </row>
    <row r="74" spans="3:22" s="23" customFormat="1" x14ac:dyDescent="0.25">
      <c r="I74" s="243"/>
      <c r="J74" s="244"/>
      <c r="K74" s="244"/>
      <c r="L74" s="244"/>
      <c r="M74" s="244"/>
      <c r="N74" s="244"/>
      <c r="O74" s="244"/>
      <c r="P74" s="244"/>
      <c r="Q74" s="244"/>
      <c r="R74" s="244"/>
      <c r="S74" s="244"/>
      <c r="T74" s="244"/>
      <c r="U74" s="244"/>
      <c r="V74" s="245"/>
    </row>
    <row r="75" spans="3:22" s="23" customFormat="1" x14ac:dyDescent="0.25"/>
    <row r="76" spans="3:22" s="23" customFormat="1" x14ac:dyDescent="0.25"/>
    <row r="77" spans="3:22" s="23" customFormat="1" x14ac:dyDescent="0.25"/>
    <row r="78" spans="3:22" s="23" customFormat="1" x14ac:dyDescent="0.25"/>
    <row r="79" spans="3:22" s="23" customFormat="1" x14ac:dyDescent="0.25"/>
    <row r="80" spans="3:22" s="23" customFormat="1" x14ac:dyDescent="0.25"/>
    <row r="81" s="23" customFormat="1" x14ac:dyDescent="0.25"/>
    <row r="82" s="23" customFormat="1" x14ac:dyDescent="0.25"/>
    <row r="83" s="23" customFormat="1" x14ac:dyDescent="0.25"/>
    <row r="84" s="23" customFormat="1" x14ac:dyDescent="0.25"/>
    <row r="85" s="23" customFormat="1" x14ac:dyDescent="0.25"/>
  </sheetData>
  <mergeCells count="98">
    <mergeCell ref="AV3:AW3"/>
    <mergeCell ref="C12:D12"/>
    <mergeCell ref="F12:G12"/>
    <mergeCell ref="I12:J12"/>
    <mergeCell ref="L12:N12"/>
    <mergeCell ref="Q12:R12"/>
    <mergeCell ref="U10:X12"/>
    <mergeCell ref="C13:D13"/>
    <mergeCell ref="F13:G13"/>
    <mergeCell ref="I13:J13"/>
    <mergeCell ref="L13:N13"/>
    <mergeCell ref="Q13:R13"/>
    <mergeCell ref="Q15:R15"/>
    <mergeCell ref="C22:D22"/>
    <mergeCell ref="C23:D23"/>
    <mergeCell ref="E23:F23"/>
    <mergeCell ref="I23:S27"/>
    <mergeCell ref="C25:D25"/>
    <mergeCell ref="C26:D26"/>
    <mergeCell ref="E26:F26"/>
    <mergeCell ref="Q18:R18"/>
    <mergeCell ref="Q17:R17"/>
    <mergeCell ref="C15:D15"/>
    <mergeCell ref="F15:G15"/>
    <mergeCell ref="I15:J15"/>
    <mergeCell ref="L15:N15"/>
    <mergeCell ref="O15:P15"/>
    <mergeCell ref="C16:D16"/>
    <mergeCell ref="Z29:AK29"/>
    <mergeCell ref="Z30:AK31"/>
    <mergeCell ref="C31:S41"/>
    <mergeCell ref="Z39:Z40"/>
    <mergeCell ref="Z41:Z42"/>
    <mergeCell ref="Y53:Z53"/>
    <mergeCell ref="C56:D56"/>
    <mergeCell ref="F56:G56"/>
    <mergeCell ref="I56:J56"/>
    <mergeCell ref="L56:N56"/>
    <mergeCell ref="Q56:R56"/>
    <mergeCell ref="T56:V56"/>
    <mergeCell ref="Y56:Z56"/>
    <mergeCell ref="I53:J53"/>
    <mergeCell ref="L53:N53"/>
    <mergeCell ref="Q53:R53"/>
    <mergeCell ref="T53:V53"/>
    <mergeCell ref="W53:X53"/>
    <mergeCell ref="C66:D66"/>
    <mergeCell ref="E66:F66"/>
    <mergeCell ref="Y57:Z57"/>
    <mergeCell ref="C59:D59"/>
    <mergeCell ref="F59:G59"/>
    <mergeCell ref="I59:J59"/>
    <mergeCell ref="L59:N59"/>
    <mergeCell ref="O59:P59"/>
    <mergeCell ref="Q59:R59"/>
    <mergeCell ref="T59:V59"/>
    <mergeCell ref="W59:X59"/>
    <mergeCell ref="Y59:Z59"/>
    <mergeCell ref="C57:D57"/>
    <mergeCell ref="F57:G57"/>
    <mergeCell ref="I57:J57"/>
    <mergeCell ref="L57:N57"/>
    <mergeCell ref="C62:D62"/>
    <mergeCell ref="C63:D63"/>
    <mergeCell ref="E63:F63"/>
    <mergeCell ref="I63:V64"/>
    <mergeCell ref="C65:D65"/>
    <mergeCell ref="C17:D17"/>
    <mergeCell ref="C18:D18"/>
    <mergeCell ref="C19:D19"/>
    <mergeCell ref="F16:G16"/>
    <mergeCell ref="F19:G19"/>
    <mergeCell ref="F18:G18"/>
    <mergeCell ref="F17:G17"/>
    <mergeCell ref="I19:J19"/>
    <mergeCell ref="I18:J18"/>
    <mergeCell ref="I17:J17"/>
    <mergeCell ref="I16:J16"/>
    <mergeCell ref="I67:V74"/>
    <mergeCell ref="Q19:R19"/>
    <mergeCell ref="Q57:R57"/>
    <mergeCell ref="T57:V57"/>
    <mergeCell ref="AB43:AB44"/>
    <mergeCell ref="AG43:AG44"/>
    <mergeCell ref="AA43:AA44"/>
    <mergeCell ref="AF43:AF44"/>
    <mergeCell ref="G8:H8"/>
    <mergeCell ref="G9:H9"/>
    <mergeCell ref="AE39:AE40"/>
    <mergeCell ref="AE41:AE42"/>
    <mergeCell ref="U17:X19"/>
    <mergeCell ref="Z25:AK25"/>
    <mergeCell ref="Z26:AK26"/>
    <mergeCell ref="Q16:R16"/>
    <mergeCell ref="L19:N19"/>
    <mergeCell ref="L18:N18"/>
    <mergeCell ref="L17:N17"/>
    <mergeCell ref="L16:N16"/>
  </mergeCells>
  <dataValidations count="11">
    <dataValidation type="list" allowBlank="1" showInputMessage="1" showErrorMessage="1" sqref="E23:F23 E26:F26 E63:F63 E66:F66" xr:uid="{215EB594-D26B-4A84-A01C-7536F5A6A59D}">
      <formula1>INDIRECT(C23)</formula1>
    </dataValidation>
    <dataValidation type="list" allowBlank="1" showInputMessage="1" showErrorMessage="1" sqref="C13:D13 C20 C57:D57 C60" xr:uid="{3831EA6B-0912-40D4-999F-EA6DCEF4694C}">
      <formula1>Planet</formula1>
    </dataValidation>
    <dataValidation type="list" allowBlank="1" showInputMessage="1" showErrorMessage="1" sqref="L59:N59 Q59:R59 C59:D59 F59:G59 I59:J59 T59:V59 Y59:Z59 F15:G15 L15:N15 Q15:R15 C15:D15 I15:J15" xr:uid="{FB933B69-711D-4304-B91C-CEC4AE693EBF}">
      <formula1>INDIRECT(C13)</formula1>
    </dataValidation>
    <dataValidation type="list" allowBlank="1" showInputMessage="1" showErrorMessage="1" sqref="L13:N13 E20 G20 I20 Q13:R13 I13:J13 F13:G13 I57:J57 C23:D23 C26:D26 L57:N57 E60 G60 I60 Q57:R57 F57:G57 Y57:Z57 K60 T57:V57 C63:D63 C66:D66 G9:H9" xr:uid="{EB60A83E-5198-4B55-A283-6A34316B498D}">
      <formula1>SIGN</formula1>
    </dataValidation>
    <dataValidation type="list" allowBlank="1" showInputMessage="1" showErrorMessage="1" sqref="C5" xr:uid="{54C9404D-B61F-4B37-8FEF-40935A857A1D}">
      <formula1>DD_TruePlacement1_ddown</formula1>
    </dataValidation>
    <dataValidation type="list" allowBlank="1" showInputMessage="1" showErrorMessage="1" sqref="I5 E5" xr:uid="{F36A0AD7-F24D-4C49-8897-661C62AB00AD}">
      <formula1>DD_sign_dd</formula1>
    </dataValidation>
    <dataValidation type="list" allowBlank="1" showInputMessage="1" showErrorMessage="1" sqref="G5 D9" xr:uid="{3A0AB7A4-BF54-4D8F-B31F-B6187F307C88}">
      <formula1>DD_degree_dd</formula1>
    </dataValidation>
    <dataValidation type="list" allowBlank="1" showInputMessage="1" showErrorMessage="1" sqref="C18:D18 F18:G18 I18:J18 L18:N18 Q18:R18" xr:uid="{AE7BEF33-18AB-4809-AE65-E7A017D75A45}">
      <formula1>INDIRECT(C13)</formula1>
    </dataValidation>
    <dataValidation type="list" allowBlank="1" showInputMessage="1" showErrorMessage="1" sqref="C17:D17 F17:G17 I17:J17 L17:N17 Q17:R17" xr:uid="{E0D2A21E-017D-4543-A503-0A94D4637C99}">
      <formula1>INDIRECT(C13)</formula1>
    </dataValidation>
    <dataValidation type="list" allowBlank="1" showInputMessage="1" showErrorMessage="1" sqref="C16:D16 F16:G16 I16:J16 L16:N16 Q16:R16" xr:uid="{341F4C73-53C5-4682-9EE9-97F0D798D2D3}">
      <formula1>INDIRECT(C13)</formula1>
    </dataValidation>
    <dataValidation type="list" allowBlank="1" showInputMessage="1" showErrorMessage="1" sqref="C19:D19 F19:G19 I19:J19 L19:N19 Q19:R19" xr:uid="{C0F7CAF7-16E0-453F-8652-F1DBDEF0FCDF}">
      <formula1>INDIRECT(C13)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FC36-7ADA-4464-AD03-CECBF34DA206}">
  <dimension ref="A1:BK122"/>
  <sheetViews>
    <sheetView tabSelected="1" topLeftCell="A19" workbookViewId="0">
      <selection activeCell="Q28" sqref="Q28:X32"/>
    </sheetView>
  </sheetViews>
  <sheetFormatPr defaultRowHeight="15" x14ac:dyDescent="0.25"/>
  <cols>
    <col min="1" max="1" width="2.5703125" customWidth="1"/>
    <col min="2" max="2" width="10.85546875" customWidth="1"/>
    <col min="3" max="3" width="12.5703125" customWidth="1"/>
    <col min="4" max="4" width="10" customWidth="1"/>
    <col min="5" max="5" width="13.42578125" customWidth="1"/>
    <col min="6" max="6" width="10.28515625" customWidth="1"/>
    <col min="7" max="8" width="10.42578125" customWidth="1"/>
    <col min="9" max="9" width="12.42578125" customWidth="1"/>
    <col min="11" max="11" width="13.140625" customWidth="1"/>
    <col min="12" max="12" width="10.42578125" customWidth="1"/>
    <col min="13" max="13" width="4.42578125" customWidth="1"/>
    <col min="14" max="14" width="11" customWidth="1"/>
    <col min="15" max="15" width="4.85546875" customWidth="1"/>
    <col min="16" max="16" width="15" customWidth="1"/>
    <col min="17" max="17" width="5.42578125" customWidth="1"/>
    <col min="18" max="18" width="18.28515625" customWidth="1"/>
    <col min="19" max="19" width="18.42578125" customWidth="1"/>
    <col min="20" max="20" width="11.140625" customWidth="1"/>
    <col min="21" max="21" width="8.28515625" customWidth="1"/>
    <col min="22" max="22" width="10.5703125" customWidth="1"/>
    <col min="23" max="23" width="16.28515625" customWidth="1"/>
    <col min="25" max="25" width="12" customWidth="1"/>
    <col min="26" max="26" width="13.5703125" customWidth="1"/>
    <col min="27" max="30" width="11.42578125" customWidth="1"/>
    <col min="31" max="31" width="10" customWidth="1"/>
    <col min="32" max="32" width="13.28515625" customWidth="1"/>
    <col min="33" max="33" width="11.5703125" customWidth="1"/>
    <col min="34" max="34" width="16.42578125" customWidth="1"/>
    <col min="35" max="35" width="6.42578125" customWidth="1"/>
    <col min="38" max="38" width="15.28515625" customWidth="1"/>
    <col min="39" max="39" width="16.85546875" customWidth="1"/>
    <col min="40" max="40" width="14.28515625" customWidth="1"/>
  </cols>
  <sheetData>
    <row r="1" spans="1:58" s="94" customFormat="1" x14ac:dyDescent="0.25">
      <c r="K1" s="95"/>
      <c r="L1" s="95"/>
      <c r="M1" s="95"/>
      <c r="N1" s="95"/>
      <c r="O1" s="95"/>
      <c r="P1" s="95"/>
      <c r="Q1" s="95"/>
      <c r="R1" s="95"/>
      <c r="S1" s="95"/>
      <c r="T1" s="95"/>
      <c r="U1" s="95"/>
      <c r="V1" s="95"/>
      <c r="W1" s="95"/>
      <c r="X1" s="95"/>
      <c r="Y1" s="95"/>
      <c r="Z1" s="95"/>
      <c r="AA1" s="95"/>
      <c r="AB1" s="95"/>
      <c r="AC1" s="95"/>
      <c r="AD1" s="95"/>
    </row>
    <row r="2" spans="1:58" s="94" customFormat="1" x14ac:dyDescent="0.25">
      <c r="K2" s="95"/>
      <c r="L2" s="422" t="s">
        <v>30</v>
      </c>
      <c r="M2" s="423" t="s">
        <v>137</v>
      </c>
      <c r="N2" s="96" t="s">
        <v>23</v>
      </c>
      <c r="O2" s="423" t="s">
        <v>703</v>
      </c>
      <c r="P2" s="96" t="s">
        <v>709</v>
      </c>
      <c r="Q2" s="423" t="s">
        <v>703</v>
      </c>
      <c r="R2" s="96" t="s">
        <v>705</v>
      </c>
      <c r="S2" s="96" t="s">
        <v>90</v>
      </c>
      <c r="T2" s="422" t="s">
        <v>23</v>
      </c>
      <c r="U2" s="423" t="s">
        <v>701</v>
      </c>
      <c r="V2" s="96" t="s">
        <v>23</v>
      </c>
      <c r="W2" s="96" t="s">
        <v>706</v>
      </c>
      <c r="X2" s="423" t="s">
        <v>702</v>
      </c>
      <c r="Y2" s="95"/>
      <c r="Z2" s="95"/>
      <c r="AA2" s="95"/>
      <c r="AB2" s="95"/>
      <c r="AC2" s="95"/>
      <c r="AD2" s="95"/>
      <c r="AK2" s="128"/>
      <c r="AO2" s="111"/>
      <c r="AP2" s="198"/>
      <c r="AQ2" s="111"/>
      <c r="AR2" s="111"/>
      <c r="AS2" s="111"/>
      <c r="AT2" s="111"/>
      <c r="AU2" s="111"/>
      <c r="AV2" s="111"/>
      <c r="AW2" s="111"/>
      <c r="AX2" s="111"/>
      <c r="AY2" s="111"/>
      <c r="AZ2" s="111"/>
      <c r="BA2" s="111"/>
      <c r="BB2" s="111"/>
      <c r="BC2" s="187"/>
      <c r="BD2" s="187"/>
      <c r="BE2" s="111"/>
    </row>
    <row r="3" spans="1:58" s="94" customFormat="1" ht="15.75" customHeight="1" x14ac:dyDescent="0.3">
      <c r="K3" s="95"/>
      <c r="L3" s="424" t="s">
        <v>133</v>
      </c>
      <c r="M3" s="425"/>
      <c r="N3" s="424" t="s">
        <v>153</v>
      </c>
      <c r="O3" s="425"/>
      <c r="P3" s="424" t="s">
        <v>63</v>
      </c>
      <c r="Q3" s="424"/>
      <c r="R3" s="424" t="s">
        <v>704</v>
      </c>
      <c r="S3" s="425"/>
      <c r="T3" s="424" t="s">
        <v>60</v>
      </c>
      <c r="U3" s="425"/>
      <c r="V3" s="424" t="s">
        <v>153</v>
      </c>
      <c r="W3" s="424"/>
      <c r="X3" s="425"/>
      <c r="Y3" s="95"/>
      <c r="Z3" s="95"/>
      <c r="AA3" s="95"/>
      <c r="AB3" s="95"/>
      <c r="AC3" s="95"/>
      <c r="AD3" s="95"/>
      <c r="AO3" s="199"/>
      <c r="AP3" s="111"/>
      <c r="AQ3" s="200"/>
      <c r="AR3" s="27"/>
      <c r="AS3" s="27"/>
      <c r="AT3" s="200"/>
      <c r="AU3" s="27"/>
      <c r="AV3" s="200"/>
      <c r="AW3" s="27"/>
      <c r="AX3" s="201"/>
      <c r="AY3" s="202"/>
      <c r="AZ3" s="27"/>
      <c r="BA3" s="111"/>
      <c r="BB3" s="111"/>
      <c r="BC3" s="320"/>
      <c r="BD3" s="320"/>
      <c r="BE3" s="111"/>
    </row>
    <row r="4" spans="1:58" s="94" customFormat="1" ht="8.25" customHeight="1" thickBot="1" x14ac:dyDescent="0.3">
      <c r="K4" s="95"/>
      <c r="L4" s="95"/>
      <c r="M4" s="95"/>
      <c r="N4" s="95"/>
      <c r="O4" s="95"/>
      <c r="P4" s="95"/>
      <c r="Q4" s="95"/>
      <c r="R4" s="95"/>
      <c r="S4" s="95"/>
      <c r="T4" s="95"/>
      <c r="U4" s="95"/>
      <c r="V4" s="95"/>
      <c r="W4" s="95"/>
      <c r="X4" s="95"/>
      <c r="Y4" s="95"/>
      <c r="Z4" s="95"/>
      <c r="AA4" s="95"/>
      <c r="AB4" s="95"/>
      <c r="AC4" s="95"/>
      <c r="AD4" s="95"/>
      <c r="AO4" s="111"/>
      <c r="AP4" s="111"/>
      <c r="AQ4" s="111"/>
      <c r="AR4" s="111"/>
      <c r="AS4" s="111"/>
      <c r="AT4" s="111"/>
      <c r="AU4" s="111"/>
      <c r="AV4" s="111"/>
      <c r="AW4" s="111"/>
      <c r="AX4" s="111"/>
      <c r="AY4" s="111"/>
      <c r="AZ4" s="111"/>
      <c r="BA4" s="111"/>
      <c r="BB4" s="111"/>
      <c r="BC4" s="111"/>
      <c r="BD4" s="111"/>
      <c r="BE4" s="111"/>
    </row>
    <row r="5" spans="1:58" s="74" customFormat="1" ht="23.25" customHeight="1" thickBot="1" x14ac:dyDescent="0.3">
      <c r="A5" s="97"/>
      <c r="B5" s="98" t="s">
        <v>698</v>
      </c>
      <c r="C5" s="184"/>
      <c r="D5" s="98" t="s">
        <v>697</v>
      </c>
      <c r="E5" s="184"/>
      <c r="F5" s="98" t="s">
        <v>699</v>
      </c>
      <c r="G5" s="184"/>
      <c r="H5" s="98" t="s">
        <v>700</v>
      </c>
      <c r="I5" s="184"/>
      <c r="J5" s="97"/>
      <c r="K5" s="97"/>
      <c r="L5" s="193">
        <f>C5</f>
        <v>0</v>
      </c>
      <c r="M5" s="124" t="s">
        <v>137</v>
      </c>
      <c r="N5" s="125" t="str">
        <f>IFERROR(VLOOKUP(C5&amp;"-"&amp;E5&amp;"-"&amp;I5, TruePlacement_DataBase1[[#All],[Helper]:[Sign6]], 3, 0), "")</f>
        <v/>
      </c>
      <c r="O5" s="124" t="s">
        <v>703</v>
      </c>
      <c r="P5" s="125" t="str">
        <f>IFERROR(VLOOKUP(G5&amp;"-"&amp;E5, Degree_Spark_DataBase[[Helper]:[Decan Planets]], 2, 0)&amp;" spark","")</f>
        <v/>
      </c>
      <c r="Q5" s="124" t="s">
        <v>703</v>
      </c>
      <c r="R5" s="125" t="str">
        <f>IFERROR(VLOOKUP(G5&amp;"-"&amp;E5, Degree_Spark_DataBase[[Helper]:[Decan Planets]], 3, 0)&amp;" decan","Not Found")</f>
        <v>Not Found</v>
      </c>
      <c r="S5" s="124" t="s">
        <v>90</v>
      </c>
      <c r="T5" s="125" t="str">
        <f>IFERROR(VLOOKUP(C5&amp;"-"&amp;E5&amp;"-"&amp;I5, TruePlacement_DataBase1[[Helper]:[Sign3]], 4,FALSE), "")</f>
        <v/>
      </c>
      <c r="U5" s="124" t="s">
        <v>701</v>
      </c>
      <c r="V5" s="125" t="str">
        <f>IFERROR(VLOOKUP(C5&amp;"-"&amp;E5&amp;"-"&amp;I5, TruePlacement_DataBase1[[Helper]:[Sign3]], 6,FALSE), "")</f>
        <v/>
      </c>
      <c r="W5" s="125" t="str">
        <f>IFERROR("and  "&amp;VLOOKUP(C5&amp;"-"&amp;E5&amp;"-"&amp;I5, TruePlacement_DataBase1[[Helper]:[Sign6]], 9,FALSE), "")</f>
        <v/>
      </c>
      <c r="X5" s="127" t="s">
        <v>702</v>
      </c>
      <c r="Y5" s="96"/>
      <c r="Z5" s="96"/>
      <c r="AA5" s="96"/>
      <c r="AB5" s="96"/>
      <c r="AC5" s="96"/>
      <c r="AD5" s="96"/>
      <c r="AE5" s="112"/>
      <c r="AF5" s="112"/>
      <c r="AG5" s="112"/>
      <c r="AH5" s="112"/>
      <c r="AI5" s="112"/>
      <c r="AJ5" s="112"/>
      <c r="AK5" s="112"/>
      <c r="AL5" s="112"/>
      <c r="AM5" s="112"/>
      <c r="AN5" s="112"/>
      <c r="AO5" s="152"/>
      <c r="AP5" s="203"/>
      <c r="AQ5" s="204"/>
      <c r="AR5" s="203"/>
      <c r="AS5" s="204"/>
      <c r="AT5" s="203"/>
      <c r="AU5" s="204"/>
      <c r="AV5" s="203"/>
      <c r="AW5" s="204"/>
      <c r="AX5" s="205"/>
      <c r="AY5" s="204"/>
      <c r="AZ5" s="203"/>
      <c r="BA5" s="203"/>
      <c r="BB5" s="204"/>
      <c r="BC5" s="112"/>
      <c r="BD5" s="112"/>
      <c r="BE5" s="112"/>
    </row>
    <row r="6" spans="1:58" s="94" customFormat="1" x14ac:dyDescent="0.25">
      <c r="L6" s="95"/>
      <c r="M6" s="95"/>
      <c r="N6" s="95"/>
      <c r="O6" s="95"/>
      <c r="P6" s="426" t="str">
        <f>IFERROR(VLOOKUP(G5&amp;"-"&amp;E5, Degree_Spark_DataBase[[Helper]:[Decan Planets]], 2, 0),"spark")</f>
        <v>spark</v>
      </c>
      <c r="Q6" s="95"/>
      <c r="R6" s="426" t="str">
        <f>IFERROR(VLOOKUP(G5&amp;"-"&amp;E5, Degree_Spark_DataBase[[Helper]:[Decan Planets]], 3, 0),"decan")</f>
        <v>decan</v>
      </c>
      <c r="S6" s="95"/>
      <c r="T6" s="95"/>
      <c r="U6" s="95"/>
      <c r="V6" s="426" t="str">
        <f>IFERROR(VLOOKUP(C5&amp;"-"&amp;E5&amp;"-"&amp;I5, TruePlacement_DataBase1[[Helper]:[Sign3]], 6,FALSE), "")</f>
        <v/>
      </c>
      <c r="W6" s="426" t="str">
        <f>IFERROR(VLOOKUP(C5&amp;"-"&amp;E5&amp;"-"&amp;I5, TruePlacement_DataBase1[[Helper]:[Sign6]], 9,FALSE), "")</f>
        <v/>
      </c>
      <c r="X6" s="95"/>
      <c r="Y6" s="101"/>
      <c r="Z6" s="101"/>
      <c r="AA6" s="101"/>
      <c r="AB6" s="101"/>
      <c r="AC6" s="101"/>
      <c r="AD6" s="101"/>
      <c r="AI6" s="111"/>
      <c r="AJ6" s="111"/>
      <c r="AK6" s="111"/>
      <c r="AL6" s="111"/>
      <c r="AM6" s="111"/>
      <c r="AN6" s="111"/>
      <c r="AO6" s="111"/>
      <c r="AP6" s="111"/>
      <c r="AQ6" s="111"/>
      <c r="AR6" s="111"/>
      <c r="AS6" s="111"/>
      <c r="AT6" s="111"/>
      <c r="AU6" s="111"/>
      <c r="AV6" s="111"/>
      <c r="AW6" s="111"/>
      <c r="AX6" s="111"/>
      <c r="AY6" s="111"/>
      <c r="AZ6" s="111"/>
      <c r="BA6" s="111"/>
      <c r="BB6" s="111"/>
      <c r="BC6" s="111"/>
      <c r="BD6" s="111"/>
      <c r="BE6" s="111"/>
    </row>
    <row r="7" spans="1:58" s="94" customFormat="1" x14ac:dyDescent="0.25">
      <c r="E7" s="148"/>
      <c r="L7" s="95"/>
      <c r="M7" s="95"/>
      <c r="N7" s="95"/>
      <c r="O7" s="95"/>
      <c r="P7" s="95"/>
      <c r="Q7" s="95"/>
      <c r="R7" s="95"/>
      <c r="S7" s="95"/>
      <c r="T7" s="95"/>
      <c r="U7" s="95"/>
      <c r="V7" s="426" t="str">
        <f>IFERROR(VLOOKUP(C5&amp;"-"&amp;E5&amp;"-"&amp;I5, TruePlacement_DataBase1[[Helper]:[Sign5]], 7,0), "")</f>
        <v/>
      </c>
      <c r="W7" s="426" t="str">
        <f>IFERROR(VLOOKUP(C5&amp;"-"&amp;E5&amp;"-"&amp;I5, TruePlacement_DataBase2[[Helper]:[Sign5]], 10,0), "")</f>
        <v/>
      </c>
      <c r="X7" s="95"/>
      <c r="Y7" s="101"/>
      <c r="Z7" s="101"/>
      <c r="AA7" s="101"/>
      <c r="AB7" s="101"/>
      <c r="AC7" s="101"/>
      <c r="AD7" s="101"/>
      <c r="AO7" s="111"/>
      <c r="AP7" s="111"/>
      <c r="AQ7" s="111"/>
      <c r="AR7" s="111"/>
      <c r="AS7" s="111"/>
      <c r="AT7" s="111"/>
      <c r="AU7" s="111"/>
      <c r="AV7" s="111"/>
      <c r="AW7" s="111"/>
      <c r="AX7" s="111"/>
      <c r="AY7" s="111"/>
      <c r="AZ7" s="111"/>
      <c r="BA7" s="111"/>
      <c r="BB7" s="111"/>
      <c r="BC7" s="111"/>
      <c r="BD7" s="111"/>
      <c r="BE7" s="111"/>
    </row>
    <row r="8" spans="1:58" s="94" customFormat="1" ht="18.75" customHeight="1" x14ac:dyDescent="0.25">
      <c r="E8" s="190" t="s">
        <v>725</v>
      </c>
      <c r="F8" s="153"/>
      <c r="G8" s="320"/>
      <c r="H8" s="320"/>
      <c r="L8" s="95"/>
      <c r="M8" s="95"/>
      <c r="N8" s="95"/>
      <c r="O8" s="95"/>
      <c r="P8" s="95"/>
      <c r="Q8" s="95"/>
      <c r="R8" s="95"/>
      <c r="S8" s="95"/>
      <c r="T8" s="95"/>
      <c r="U8" s="95"/>
      <c r="V8" s="96"/>
      <c r="W8" s="96"/>
      <c r="X8" s="423"/>
      <c r="Y8" s="101"/>
      <c r="Z8" s="101"/>
      <c r="AA8" s="101"/>
      <c r="AB8" s="101"/>
      <c r="AC8" s="101"/>
      <c r="AD8" s="101"/>
      <c r="AO8" s="111"/>
      <c r="AP8" s="111"/>
      <c r="AQ8" s="111"/>
      <c r="AR8" s="111"/>
      <c r="AS8" s="111"/>
      <c r="AT8" s="111"/>
      <c r="AU8" s="111"/>
      <c r="AV8" s="111"/>
      <c r="AW8" s="111"/>
      <c r="AX8" s="111"/>
      <c r="AY8" s="111"/>
      <c r="AZ8" s="111"/>
      <c r="BA8" s="111"/>
      <c r="BB8" s="111"/>
      <c r="BC8" s="111"/>
      <c r="BD8" s="111"/>
      <c r="BE8" s="111"/>
    </row>
    <row r="9" spans="1:58" s="94" customFormat="1" ht="21.75" customHeight="1" thickBot="1" x14ac:dyDescent="0.3">
      <c r="D9" s="192"/>
      <c r="E9" s="188" t="str">
        <f>IFERROR(VLOOKUP(E5, Ruler[], 2, 0), "")</f>
        <v/>
      </c>
      <c r="F9" s="189" t="s">
        <v>703</v>
      </c>
      <c r="G9" s="321"/>
      <c r="H9" s="322"/>
      <c r="L9" s="95"/>
      <c r="M9" s="95"/>
      <c r="N9" s="95"/>
      <c r="O9" s="95"/>
      <c r="P9" s="95"/>
      <c r="Q9" s="95"/>
      <c r="R9" s="95"/>
      <c r="S9" s="95"/>
      <c r="T9" s="95"/>
      <c r="U9" s="95"/>
      <c r="V9" s="95"/>
      <c r="W9" s="95"/>
      <c r="X9" s="95"/>
      <c r="Y9" s="95"/>
      <c r="Z9" s="95"/>
      <c r="AA9" s="95"/>
      <c r="AB9" s="95"/>
      <c r="AC9" s="95"/>
      <c r="AD9" s="95"/>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row>
    <row r="10" spans="1:58" s="94" customFormat="1" ht="22.5" customHeight="1" thickTop="1" thickBot="1" x14ac:dyDescent="0.3">
      <c r="U10" s="346" t="e">
        <f>VLOOKUP(AG50, Seznami!O52:P53, 2, 0)</f>
        <v>#N/A</v>
      </c>
      <c r="V10" s="347"/>
      <c r="W10" s="347"/>
      <c r="X10" s="348"/>
      <c r="Y10" s="95"/>
      <c r="Z10" s="95"/>
      <c r="AA10" s="95"/>
      <c r="AB10" s="95"/>
      <c r="AC10" s="95"/>
      <c r="AD10" s="95"/>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row>
    <row r="11" spans="1:58" s="75" customFormat="1" ht="15.75" thickBot="1" x14ac:dyDescent="0.3">
      <c r="A11" s="94"/>
      <c r="B11" s="80"/>
      <c r="C11" s="81"/>
      <c r="D11" s="81"/>
      <c r="E11" s="81"/>
      <c r="F11" s="81"/>
      <c r="G11" s="81"/>
      <c r="H11" s="81"/>
      <c r="I11" s="81"/>
      <c r="J11" s="81"/>
      <c r="K11" s="81"/>
      <c r="L11" s="81"/>
      <c r="M11" s="81"/>
      <c r="N11" s="81"/>
      <c r="O11" s="81"/>
      <c r="P11" s="81"/>
      <c r="Q11" s="81"/>
      <c r="R11" s="81"/>
      <c r="S11" s="82"/>
      <c r="T11" s="94"/>
      <c r="U11" s="349"/>
      <c r="V11" s="350"/>
      <c r="W11" s="350"/>
      <c r="X11" s="351"/>
      <c r="Y11" s="94"/>
      <c r="Z11" s="94"/>
      <c r="AA11" s="94"/>
      <c r="AB11" s="94"/>
      <c r="AC11" s="94"/>
      <c r="AD11" s="94"/>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row>
    <row r="12" spans="1:58" s="75" customFormat="1" ht="29.25" customHeight="1" thickTop="1" thickBot="1" x14ac:dyDescent="0.3">
      <c r="A12" s="94"/>
      <c r="B12" s="83"/>
      <c r="C12" s="308" t="s">
        <v>133</v>
      </c>
      <c r="D12" s="309"/>
      <c r="E12" s="84"/>
      <c r="F12" s="308" t="s">
        <v>153</v>
      </c>
      <c r="G12" s="309"/>
      <c r="H12" s="84"/>
      <c r="I12" s="308" t="s">
        <v>60</v>
      </c>
      <c r="J12" s="309"/>
      <c r="K12" s="84"/>
      <c r="L12" s="308" t="s">
        <v>153</v>
      </c>
      <c r="M12" s="313"/>
      <c r="N12" s="309"/>
      <c r="O12" s="84"/>
      <c r="P12" s="84"/>
      <c r="Q12" s="308" t="s">
        <v>60</v>
      </c>
      <c r="R12" s="309"/>
      <c r="S12" s="85"/>
      <c r="T12" s="94"/>
      <c r="U12" s="352"/>
      <c r="V12" s="353"/>
      <c r="W12" s="353"/>
      <c r="X12" s="354"/>
      <c r="Y12" s="94"/>
      <c r="Z12" s="94"/>
      <c r="AA12" s="94"/>
      <c r="AB12" s="94"/>
      <c r="AC12" s="94"/>
      <c r="AD12" s="94"/>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row>
    <row r="13" spans="1:58" s="75" customFormat="1" ht="24" customHeight="1" thickTop="1" thickBot="1" x14ac:dyDescent="0.3">
      <c r="A13" s="94"/>
      <c r="B13" s="83"/>
      <c r="C13" s="283">
        <f>L5</f>
        <v>0</v>
      </c>
      <c r="D13" s="284"/>
      <c r="E13" s="78"/>
      <c r="F13" s="283" t="str">
        <f>V5</f>
        <v/>
      </c>
      <c r="G13" s="284"/>
      <c r="H13" s="78"/>
      <c r="I13" s="283" t="str">
        <f>V7</f>
        <v/>
      </c>
      <c r="J13" s="284"/>
      <c r="K13" s="78"/>
      <c r="L13" s="285" t="str">
        <f>N5</f>
        <v/>
      </c>
      <c r="M13" s="286"/>
      <c r="N13" s="287"/>
      <c r="O13" s="86"/>
      <c r="P13" s="86"/>
      <c r="Q13" s="285" t="str">
        <f>T5</f>
        <v/>
      </c>
      <c r="R13" s="287"/>
      <c r="S13" s="85"/>
      <c r="T13" s="94"/>
      <c r="U13" s="94"/>
      <c r="V13" s="94"/>
      <c r="W13" s="94"/>
      <c r="X13" s="94"/>
      <c r="Y13" s="108"/>
      <c r="Z13" s="108"/>
      <c r="AA13" s="108"/>
      <c r="AB13" s="108"/>
      <c r="AC13" s="108"/>
      <c r="AD13" s="108"/>
      <c r="AE13" s="113"/>
      <c r="AF13" s="113"/>
      <c r="AG13" s="113"/>
      <c r="AH13" s="113"/>
      <c r="AI13" s="113"/>
      <c r="AJ13" s="113"/>
      <c r="AK13" s="113"/>
      <c r="AL13" s="113"/>
      <c r="AM13" s="113"/>
      <c r="AN13" s="113"/>
      <c r="AO13" s="111"/>
      <c r="AP13" s="111"/>
      <c r="AQ13" s="111"/>
      <c r="AR13" s="111"/>
      <c r="AS13" s="111"/>
      <c r="AT13" s="111"/>
      <c r="AU13" s="111"/>
      <c r="AV13" s="111"/>
      <c r="AW13" s="111"/>
      <c r="AX13" s="111"/>
      <c r="AY13" s="111"/>
      <c r="AZ13" s="111"/>
      <c r="BA13" s="111"/>
      <c r="BB13" s="111"/>
      <c r="BC13" s="111"/>
      <c r="BD13" s="111"/>
      <c r="BE13" s="111"/>
      <c r="BF13" s="111"/>
    </row>
    <row r="14" spans="1:58" s="75" customFormat="1" ht="11.25" customHeight="1" thickTop="1" x14ac:dyDescent="0.25">
      <c r="A14" s="94"/>
      <c r="B14" s="83"/>
      <c r="C14" s="78"/>
      <c r="D14" s="78"/>
      <c r="E14" s="78"/>
      <c r="F14" s="78"/>
      <c r="G14" s="78"/>
      <c r="H14" s="78"/>
      <c r="I14" s="78"/>
      <c r="J14" s="78"/>
      <c r="K14" s="78"/>
      <c r="L14" s="79"/>
      <c r="M14" s="79"/>
      <c r="N14" s="79"/>
      <c r="O14" s="79"/>
      <c r="P14" s="79"/>
      <c r="Q14" s="79"/>
      <c r="R14" s="79"/>
      <c r="S14" s="85"/>
      <c r="T14" s="94"/>
      <c r="U14" s="94"/>
      <c r="V14" s="94"/>
      <c r="W14" s="94"/>
      <c r="X14" s="94"/>
      <c r="Y14" s="108"/>
      <c r="Z14" s="108"/>
      <c r="AA14" s="108"/>
      <c r="AB14" s="108"/>
      <c r="AC14" s="108"/>
      <c r="AD14" s="108"/>
      <c r="AE14" s="113"/>
      <c r="AF14" s="113"/>
      <c r="AG14" s="113"/>
      <c r="AH14" s="113"/>
      <c r="AI14" s="113"/>
      <c r="AJ14" s="113"/>
      <c r="AK14" s="113"/>
      <c r="AL14" s="113"/>
      <c r="AM14" s="113"/>
      <c r="AN14" s="113"/>
      <c r="AO14" s="111"/>
      <c r="AP14" s="111"/>
      <c r="AQ14" s="111"/>
      <c r="AR14" s="111"/>
      <c r="AS14" s="111"/>
      <c r="AT14" s="111"/>
      <c r="AU14" s="111"/>
      <c r="AV14" s="111"/>
      <c r="AW14" s="111"/>
      <c r="AX14" s="111"/>
      <c r="AY14" s="111"/>
      <c r="AZ14" s="111"/>
      <c r="BA14" s="111"/>
      <c r="BB14" s="111"/>
      <c r="BC14" s="111"/>
      <c r="BD14" s="111"/>
      <c r="BE14" s="111"/>
      <c r="BF14" s="111"/>
    </row>
    <row r="15" spans="1:58" s="68" customFormat="1" ht="25.5" customHeight="1" x14ac:dyDescent="0.25">
      <c r="A15" s="93"/>
      <c r="B15" s="87"/>
      <c r="C15" s="310"/>
      <c r="D15" s="311"/>
      <c r="E15" s="76" t="s">
        <v>148</v>
      </c>
      <c r="F15" s="311"/>
      <c r="G15" s="311"/>
      <c r="H15" s="76" t="s">
        <v>150</v>
      </c>
      <c r="I15" s="311"/>
      <c r="J15" s="311"/>
      <c r="K15" s="77" t="s">
        <v>152</v>
      </c>
      <c r="L15" s="311"/>
      <c r="M15" s="311"/>
      <c r="N15" s="311"/>
      <c r="O15" s="306" t="s">
        <v>154</v>
      </c>
      <c r="P15" s="306"/>
      <c r="Q15" s="311"/>
      <c r="R15" s="312"/>
      <c r="S15" s="88"/>
      <c r="T15" s="93"/>
      <c r="U15" s="94"/>
      <c r="V15" s="94"/>
      <c r="W15" s="94"/>
      <c r="X15" s="94"/>
      <c r="Y15" s="109"/>
      <c r="Z15" s="109"/>
      <c r="AA15" s="109"/>
      <c r="AB15" s="109"/>
      <c r="AC15" s="109"/>
      <c r="AD15" s="109"/>
      <c r="AE15" s="113"/>
      <c r="AF15" s="114"/>
      <c r="AG15" s="113"/>
      <c r="AH15" s="113"/>
      <c r="AI15" s="114"/>
      <c r="AJ15" s="113"/>
      <c r="AK15" s="114"/>
      <c r="AL15" s="113"/>
      <c r="AM15" s="114"/>
      <c r="AN15" s="114"/>
      <c r="AO15" s="23"/>
      <c r="AP15" s="23"/>
      <c r="AQ15" s="23"/>
      <c r="AR15" s="23"/>
      <c r="AS15" s="23"/>
      <c r="AT15" s="23"/>
      <c r="AU15" s="23"/>
      <c r="AV15" s="23"/>
      <c r="AW15" s="23"/>
      <c r="AX15" s="23"/>
      <c r="AY15" s="23"/>
      <c r="AZ15" s="23"/>
      <c r="BA15" s="23"/>
      <c r="BB15" s="23"/>
      <c r="BC15" s="23"/>
      <c r="BD15" s="23"/>
      <c r="BE15" s="23"/>
      <c r="BF15" s="23"/>
    </row>
    <row r="16" spans="1:58" s="68" customFormat="1" ht="25.5" customHeight="1" x14ac:dyDescent="0.25">
      <c r="A16" s="93"/>
      <c r="B16" s="87"/>
      <c r="C16" s="345"/>
      <c r="D16" s="345"/>
      <c r="E16" s="185"/>
      <c r="F16" s="341"/>
      <c r="G16" s="341"/>
      <c r="H16" s="185"/>
      <c r="I16" s="341"/>
      <c r="J16" s="341"/>
      <c r="K16" s="186"/>
      <c r="L16" s="341"/>
      <c r="M16" s="341"/>
      <c r="N16" s="341"/>
      <c r="O16" s="185"/>
      <c r="P16" s="185"/>
      <c r="Q16" s="341"/>
      <c r="R16" s="341"/>
      <c r="S16" s="88"/>
      <c r="T16" s="93"/>
      <c r="U16" s="94"/>
      <c r="V16" s="94"/>
      <c r="W16" s="94"/>
      <c r="X16" s="94"/>
      <c r="Y16" s="109"/>
      <c r="Z16" s="109"/>
      <c r="AA16" s="109"/>
      <c r="AB16" s="109"/>
      <c r="AC16" s="109"/>
      <c r="AD16" s="109"/>
      <c r="AE16" s="113"/>
      <c r="AF16" s="114"/>
      <c r="AG16" s="113"/>
      <c r="AH16" s="113"/>
      <c r="AI16" s="114"/>
      <c r="AJ16" s="113"/>
      <c r="AK16" s="114"/>
      <c r="AL16" s="113"/>
      <c r="AM16" s="114"/>
      <c r="AN16" s="114"/>
      <c r="AO16" s="23"/>
      <c r="AP16" s="23"/>
      <c r="AQ16" s="23"/>
      <c r="AR16" s="23"/>
      <c r="AS16" s="23"/>
      <c r="AT16" s="23"/>
      <c r="AU16" s="23"/>
      <c r="AV16" s="23"/>
      <c r="AW16" s="23"/>
      <c r="AX16" s="23"/>
      <c r="AY16" s="23"/>
      <c r="AZ16" s="23"/>
      <c r="BA16" s="23"/>
      <c r="BB16" s="23"/>
      <c r="BC16" s="23"/>
      <c r="BD16" s="23"/>
      <c r="BE16" s="23"/>
      <c r="BF16" s="23"/>
    </row>
    <row r="17" spans="1:63" s="68" customFormat="1" ht="25.5" customHeight="1" x14ac:dyDescent="0.25">
      <c r="A17" s="93"/>
      <c r="B17" s="87"/>
      <c r="C17" s="343"/>
      <c r="D17" s="343"/>
      <c r="E17" s="185"/>
      <c r="F17" s="342"/>
      <c r="G17" s="342"/>
      <c r="H17" s="185"/>
      <c r="I17" s="342"/>
      <c r="J17" s="342"/>
      <c r="K17" s="186"/>
      <c r="L17" s="342"/>
      <c r="M17" s="342"/>
      <c r="N17" s="342"/>
      <c r="O17" s="185"/>
      <c r="P17" s="185"/>
      <c r="Q17" s="342"/>
      <c r="R17" s="342"/>
      <c r="S17" s="88"/>
      <c r="T17" s="93"/>
      <c r="U17" s="326" t="e">
        <f>VLOOKUP(AM50, Seznami!O57:P58, 2, 0)</f>
        <v>#N/A</v>
      </c>
      <c r="V17" s="327"/>
      <c r="W17" s="327"/>
      <c r="X17" s="328"/>
      <c r="Y17" s="109"/>
      <c r="Z17" s="109"/>
      <c r="AA17" s="109"/>
      <c r="AB17" s="109"/>
      <c r="AC17" s="109"/>
      <c r="AD17" s="109"/>
      <c r="AE17" s="113"/>
      <c r="AF17" s="114"/>
      <c r="AG17" s="113"/>
      <c r="AH17" s="113"/>
      <c r="AI17" s="114"/>
      <c r="AJ17" s="113"/>
      <c r="AK17" s="114"/>
      <c r="AL17" s="113"/>
      <c r="AM17" s="114"/>
      <c r="AN17" s="114"/>
      <c r="AO17" s="23"/>
      <c r="AP17" s="23"/>
      <c r="AQ17" s="23"/>
      <c r="AR17" s="23"/>
      <c r="AS17" s="23"/>
      <c r="AT17" s="23"/>
      <c r="AU17" s="23"/>
      <c r="AV17" s="23"/>
      <c r="AW17" s="23"/>
      <c r="AX17" s="23"/>
      <c r="AY17" s="23"/>
      <c r="AZ17" s="23"/>
      <c r="BA17" s="23"/>
      <c r="BB17" s="23"/>
      <c r="BC17" s="23"/>
      <c r="BD17" s="23"/>
      <c r="BE17" s="23"/>
      <c r="BF17" s="23"/>
    </row>
    <row r="18" spans="1:63" s="68" customFormat="1" ht="25.5" customHeight="1" x14ac:dyDescent="0.25">
      <c r="A18" s="93"/>
      <c r="B18" s="87"/>
      <c r="C18" s="343"/>
      <c r="D18" s="343"/>
      <c r="E18" s="185"/>
      <c r="F18" s="342"/>
      <c r="G18" s="342"/>
      <c r="H18" s="185"/>
      <c r="I18" s="342"/>
      <c r="J18" s="342"/>
      <c r="K18" s="186"/>
      <c r="L18" s="342"/>
      <c r="M18" s="342"/>
      <c r="N18" s="342"/>
      <c r="O18" s="185"/>
      <c r="P18" s="185"/>
      <c r="Q18" s="342"/>
      <c r="R18" s="342"/>
      <c r="S18" s="88"/>
      <c r="T18" s="93"/>
      <c r="U18" s="329"/>
      <c r="V18" s="330"/>
      <c r="W18" s="330"/>
      <c r="X18" s="331"/>
      <c r="Y18" s="109"/>
      <c r="Z18" s="109"/>
      <c r="AA18" s="109"/>
      <c r="AB18" s="109"/>
      <c r="AC18" s="109"/>
      <c r="AD18" s="109"/>
      <c r="AE18" s="113"/>
      <c r="AF18" s="114"/>
      <c r="AG18" s="113"/>
      <c r="AH18" s="113"/>
      <c r="AI18" s="114"/>
      <c r="AJ18" s="113"/>
      <c r="AK18" s="114"/>
      <c r="AL18" s="113"/>
      <c r="AM18" s="114"/>
      <c r="AN18" s="114"/>
      <c r="AO18" s="23"/>
      <c r="AP18" s="23"/>
      <c r="AQ18" s="23"/>
      <c r="AR18" s="23"/>
      <c r="AS18" s="23"/>
      <c r="AT18" s="23"/>
      <c r="AU18" s="23"/>
      <c r="AV18" s="23"/>
      <c r="AW18" s="23"/>
      <c r="AX18" s="23"/>
      <c r="AY18" s="23"/>
      <c r="AZ18" s="23"/>
      <c r="BA18" s="23"/>
      <c r="BB18" s="23"/>
      <c r="BC18" s="23"/>
      <c r="BD18" s="23"/>
      <c r="BE18" s="23"/>
      <c r="BF18" s="23"/>
    </row>
    <row r="19" spans="1:63" s="68" customFormat="1" ht="25.5" customHeight="1" x14ac:dyDescent="0.25">
      <c r="A19" s="93"/>
      <c r="B19" s="87"/>
      <c r="C19" s="344"/>
      <c r="D19" s="344"/>
      <c r="E19" s="185"/>
      <c r="F19" s="342"/>
      <c r="G19" s="342"/>
      <c r="H19" s="185"/>
      <c r="I19" s="342"/>
      <c r="J19" s="342"/>
      <c r="K19" s="186"/>
      <c r="L19" s="342"/>
      <c r="M19" s="342"/>
      <c r="N19" s="342"/>
      <c r="O19" s="185"/>
      <c r="P19" s="185"/>
      <c r="Q19" s="342"/>
      <c r="R19" s="342"/>
      <c r="S19" s="88"/>
      <c r="T19" s="93"/>
      <c r="U19" s="332"/>
      <c r="V19" s="333"/>
      <c r="W19" s="333"/>
      <c r="X19" s="334"/>
      <c r="Y19" s="109"/>
      <c r="Z19" s="109"/>
      <c r="AA19" s="109"/>
      <c r="AB19" s="109"/>
      <c r="AC19" s="109"/>
      <c r="AD19" s="109"/>
      <c r="AE19" s="113"/>
      <c r="AF19" s="114"/>
      <c r="AG19" s="113"/>
      <c r="AH19" s="113"/>
      <c r="AI19" s="114"/>
      <c r="AJ19" s="113"/>
      <c r="AK19" s="114"/>
      <c r="AL19" s="113"/>
      <c r="AM19" s="114"/>
      <c r="AN19" s="114"/>
      <c r="AO19" s="23"/>
      <c r="AP19" s="23"/>
      <c r="AQ19" s="23"/>
      <c r="AR19" s="23"/>
      <c r="AS19" s="23"/>
      <c r="AT19" s="23"/>
      <c r="AU19" s="23"/>
      <c r="AV19" s="23"/>
      <c r="AW19" s="23"/>
      <c r="AX19" s="23"/>
      <c r="AY19" s="23"/>
      <c r="AZ19" s="23"/>
      <c r="BA19" s="23"/>
      <c r="BB19" s="23"/>
      <c r="BC19" s="23"/>
      <c r="BD19" s="23"/>
      <c r="BE19" s="23"/>
      <c r="BF19" s="23"/>
    </row>
    <row r="20" spans="1:63" s="68" customFormat="1" ht="15.75" thickBot="1" x14ac:dyDescent="0.3">
      <c r="A20" s="93"/>
      <c r="B20" s="89"/>
      <c r="C20" s="90"/>
      <c r="D20" s="90"/>
      <c r="E20" s="90"/>
      <c r="F20" s="90"/>
      <c r="G20" s="90"/>
      <c r="H20" s="90"/>
      <c r="I20" s="90"/>
      <c r="J20" s="90"/>
      <c r="K20" s="90"/>
      <c r="L20" s="91"/>
      <c r="M20" s="91"/>
      <c r="N20" s="91"/>
      <c r="O20" s="91"/>
      <c r="P20" s="91"/>
      <c r="Q20" s="91"/>
      <c r="R20" s="91"/>
      <c r="S20" s="92"/>
      <c r="T20" s="93"/>
      <c r="U20" s="93"/>
      <c r="V20" s="93"/>
      <c r="W20" s="93"/>
      <c r="X20" s="93"/>
      <c r="Y20" s="110"/>
      <c r="Z20" s="110"/>
      <c r="AA20" s="110"/>
      <c r="AB20" s="110"/>
      <c r="AC20" s="110"/>
      <c r="AD20" s="110"/>
      <c r="AE20" s="115"/>
      <c r="AF20" s="115"/>
      <c r="AG20" s="115"/>
      <c r="AH20" s="115"/>
      <c r="AI20" s="115"/>
      <c r="AJ20" s="115"/>
      <c r="AK20" s="115"/>
      <c r="AL20" s="115"/>
      <c r="AM20" s="115"/>
      <c r="AN20" s="115"/>
      <c r="AO20" s="23"/>
      <c r="AP20" s="23"/>
      <c r="AQ20" s="23"/>
      <c r="AR20" s="23"/>
      <c r="AS20" s="23"/>
      <c r="AT20" s="23"/>
      <c r="AU20" s="23"/>
      <c r="AV20" s="23"/>
      <c r="AW20" s="23"/>
      <c r="AX20" s="23"/>
      <c r="AY20" s="23"/>
      <c r="AZ20" s="23"/>
      <c r="BA20" s="23"/>
      <c r="BB20" s="23"/>
      <c r="BC20" s="23"/>
      <c r="BD20" s="23"/>
      <c r="BE20" s="23"/>
      <c r="BF20" s="23"/>
    </row>
    <row r="21" spans="1:63" s="93" customFormat="1" ht="15.75" thickBot="1" x14ac:dyDescent="0.3">
      <c r="C21" s="99"/>
      <c r="D21" s="100"/>
      <c r="E21" s="99"/>
      <c r="F21" s="100"/>
      <c r="G21" s="118"/>
      <c r="H21" s="119"/>
      <c r="I21" s="118"/>
      <c r="J21" s="119"/>
      <c r="K21" s="118"/>
      <c r="L21" s="120"/>
      <c r="M21" s="120"/>
      <c r="N21" s="120"/>
      <c r="O21" s="120"/>
      <c r="P21" s="120"/>
      <c r="Q21" s="120"/>
      <c r="R21" s="120"/>
      <c r="S21" s="120"/>
      <c r="T21" s="120"/>
      <c r="U21" s="120"/>
      <c r="V21" s="120"/>
      <c r="Y21" s="99"/>
      <c r="Z21" s="99"/>
      <c r="AA21" s="99"/>
      <c r="AB21" s="99"/>
      <c r="AC21" s="99"/>
      <c r="AD21" s="99"/>
      <c r="AE21" s="116"/>
      <c r="AF21" s="117"/>
      <c r="AG21" s="116"/>
      <c r="AH21" s="116"/>
      <c r="AI21" s="117"/>
      <c r="AJ21" s="116"/>
      <c r="AK21" s="117"/>
      <c r="AL21" s="116"/>
      <c r="AM21" s="117"/>
      <c r="AN21" s="117"/>
      <c r="AO21" s="23"/>
      <c r="AP21" s="23"/>
      <c r="AQ21" s="23"/>
      <c r="AR21" s="23"/>
      <c r="AS21" s="23"/>
      <c r="AT21" s="23"/>
      <c r="AU21" s="23"/>
      <c r="AV21" s="23"/>
      <c r="AW21" s="23"/>
      <c r="AX21" s="23"/>
      <c r="AY21" s="23"/>
      <c r="AZ21" s="23"/>
      <c r="BA21" s="23"/>
      <c r="BB21" s="23"/>
      <c r="BC21" s="23"/>
      <c r="BD21" s="23"/>
      <c r="BE21" s="23"/>
      <c r="BF21" s="23"/>
    </row>
    <row r="22" spans="1:63" s="68" customFormat="1" ht="24.75" customHeight="1" thickBot="1" x14ac:dyDescent="0.3">
      <c r="A22" s="23"/>
      <c r="B22" s="23"/>
      <c r="C22" s="264" t="s">
        <v>63</v>
      </c>
      <c r="D22" s="265"/>
      <c r="E22" s="111"/>
      <c r="F22" s="111"/>
      <c r="G22" s="121"/>
      <c r="H22" s="121"/>
      <c r="I22" s="121"/>
      <c r="J22" s="401"/>
      <c r="K22" s="401"/>
      <c r="L22" s="401"/>
      <c r="M22" s="401"/>
      <c r="N22" s="401"/>
      <c r="O22" s="401"/>
      <c r="P22" s="121"/>
      <c r="Q22" s="121"/>
      <c r="R22" s="121"/>
      <c r="S22" s="121"/>
      <c r="T22" s="121"/>
      <c r="U22" s="121"/>
      <c r="V22" s="121"/>
      <c r="W22" s="23"/>
      <c r="X22" s="23"/>
      <c r="Y22" s="23"/>
      <c r="Z22" s="23"/>
      <c r="AA22" s="23"/>
      <c r="AB22" s="23"/>
      <c r="AC22" s="23"/>
      <c r="AD22" s="23"/>
      <c r="AE22" s="23"/>
      <c r="AF22" s="355" t="str">
        <f>I5&amp;" rising with "&amp;C5&amp;" in "&amp;E5&amp;" at "&amp;G5</f>
        <v xml:space="preserve"> rising with  in  at </v>
      </c>
      <c r="AG22" s="356"/>
      <c r="AH22" s="356"/>
      <c r="AI22" s="356"/>
      <c r="AJ22" s="357"/>
      <c r="AK22" s="23"/>
      <c r="AL22" s="23"/>
      <c r="AM22" s="23"/>
      <c r="AN22" s="23"/>
      <c r="AO22" s="23"/>
      <c r="AP22" s="23"/>
      <c r="AQ22" s="23"/>
      <c r="AR22" s="23"/>
      <c r="AS22" s="23"/>
      <c r="AT22" s="23"/>
      <c r="AU22" s="23"/>
      <c r="AV22" s="23"/>
      <c r="AW22" s="23"/>
      <c r="AX22" s="23"/>
      <c r="AY22" s="23"/>
      <c r="AZ22" s="23"/>
      <c r="BA22" s="23"/>
      <c r="BB22" s="23"/>
      <c r="BC22" s="23"/>
      <c r="BD22" s="23"/>
      <c r="BE22" s="23"/>
      <c r="BF22" s="23"/>
    </row>
    <row r="23" spans="1:63" s="68" customFormat="1" ht="24.75" customHeight="1" thickTop="1" x14ac:dyDescent="0.25">
      <c r="A23" s="23"/>
      <c r="B23" s="23"/>
      <c r="C23" s="266" t="str">
        <f>P6</f>
        <v>spark</v>
      </c>
      <c r="D23" s="267"/>
      <c r="E23" s="314"/>
      <c r="F23" s="315"/>
      <c r="G23" s="121"/>
      <c r="H23" s="121"/>
      <c r="I23" s="23"/>
      <c r="J23" s="387"/>
      <c r="K23" s="387"/>
      <c r="L23" s="387"/>
      <c r="M23" s="387"/>
      <c r="N23" s="387"/>
      <c r="O23" s="387"/>
      <c r="P23" s="390"/>
      <c r="Q23" s="412" t="str">
        <f>C15&amp;" "&amp;E15&amp;" "&amp;F15&amp;" "&amp;H15&amp;" "&amp;I15&amp;" "&amp;K15&amp;" "&amp;L15&amp;" "&amp;O15&amp;" "&amp;Q15</f>
        <v xml:space="preserve"> based on   through  directed into  expressed through  </v>
      </c>
      <c r="R23" s="413"/>
      <c r="S23" s="413"/>
      <c r="T23" s="413"/>
      <c r="U23" s="413"/>
      <c r="V23" s="413"/>
      <c r="W23" s="413"/>
      <c r="X23" s="414"/>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row>
    <row r="24" spans="1:63" s="68" customFormat="1" ht="24.75" customHeight="1" thickBot="1" x14ac:dyDescent="0.3">
      <c r="A24" s="23"/>
      <c r="B24" s="23"/>
      <c r="C24" s="111"/>
      <c r="D24" s="111"/>
      <c r="E24" s="112"/>
      <c r="F24" s="112"/>
      <c r="G24" s="121"/>
      <c r="H24" s="23"/>
      <c r="I24" s="23"/>
      <c r="J24" s="387"/>
      <c r="K24" s="387"/>
      <c r="L24" s="387"/>
      <c r="M24" s="387"/>
      <c r="N24" s="387"/>
      <c r="O24" s="387"/>
      <c r="P24" s="390"/>
      <c r="Q24" s="415"/>
      <c r="R24" s="394"/>
      <c r="S24" s="394"/>
      <c r="T24" s="394"/>
      <c r="U24" s="394"/>
      <c r="V24" s="394"/>
      <c r="W24" s="394"/>
      <c r="X24" s="416"/>
      <c r="Y24" s="23"/>
      <c r="Z24" s="23"/>
      <c r="AA24" s="23"/>
      <c r="AB24" s="23"/>
      <c r="AC24" s="23"/>
      <c r="AD24" s="23"/>
      <c r="AE24" s="23" t="s">
        <v>725</v>
      </c>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row>
    <row r="25" spans="1:63" s="68" customFormat="1" ht="24.75" customHeight="1" thickBot="1" x14ac:dyDescent="0.3">
      <c r="A25" s="23"/>
      <c r="B25" s="23"/>
      <c r="C25" s="264" t="s">
        <v>704</v>
      </c>
      <c r="D25" s="265"/>
      <c r="E25" s="112"/>
      <c r="F25" s="112"/>
      <c r="G25" s="121"/>
      <c r="H25" s="402" t="s">
        <v>760</v>
      </c>
      <c r="I25" s="402"/>
      <c r="J25" s="387"/>
      <c r="K25" s="387"/>
      <c r="L25" s="387"/>
      <c r="M25" s="387"/>
      <c r="N25" s="387"/>
      <c r="O25" s="387"/>
      <c r="P25" s="390"/>
      <c r="Q25" s="417"/>
      <c r="R25" s="418"/>
      <c r="S25" s="418"/>
      <c r="T25" s="418"/>
      <c r="U25" s="418"/>
      <c r="V25" s="418"/>
      <c r="W25" s="418"/>
      <c r="X25" s="419"/>
      <c r="Y25" s="23"/>
      <c r="Z25" s="23"/>
      <c r="AA25" s="23"/>
      <c r="AB25" s="23"/>
      <c r="AC25" s="23"/>
      <c r="AD25" s="23"/>
      <c r="AE25" s="335" t="str">
        <f>AM41&amp;" in "&amp;AM42&amp;", with "&amp;AM43&amp;" spark in "&amp;AM44&amp;" decan, expressed through "&amp;AM45&amp;" with "&amp;AM46&amp;" base (through "&amp;AM47&amp;")"</f>
        <v xml:space="preserve"> in , with  spark in Not Found decan, expressed through  with  base (through )</v>
      </c>
      <c r="AF25" s="336"/>
      <c r="AG25" s="336"/>
      <c r="AH25" s="336"/>
      <c r="AI25" s="336"/>
      <c r="AJ25" s="336"/>
      <c r="AK25" s="336"/>
      <c r="AL25" s="336"/>
      <c r="AM25" s="336"/>
      <c r="AN25" s="336"/>
      <c r="AO25" s="336"/>
      <c r="AP25" s="336"/>
      <c r="AQ25" s="336"/>
      <c r="AR25" s="337"/>
      <c r="AS25" s="23"/>
      <c r="AT25" s="23"/>
      <c r="AU25" s="23"/>
      <c r="AV25" s="23"/>
      <c r="AW25" s="23"/>
      <c r="AX25" s="23"/>
      <c r="AY25" s="23"/>
      <c r="AZ25" s="23"/>
      <c r="BA25" s="23"/>
      <c r="BB25" s="23"/>
      <c r="BC25" s="23"/>
      <c r="BD25" s="23"/>
      <c r="BE25" s="23"/>
      <c r="BF25" s="23"/>
      <c r="BG25" s="23"/>
      <c r="BH25" s="23"/>
      <c r="BI25" s="23"/>
      <c r="BJ25" s="23"/>
      <c r="BK25" s="23"/>
    </row>
    <row r="26" spans="1:63" s="68" customFormat="1" ht="24.75" customHeight="1" thickTop="1" thickBot="1" x14ac:dyDescent="0.3">
      <c r="A26" s="23"/>
      <c r="B26" s="23"/>
      <c r="C26" s="266" t="str">
        <f>R6</f>
        <v>decan</v>
      </c>
      <c r="D26" s="267"/>
      <c r="E26" s="314"/>
      <c r="F26" s="315"/>
      <c r="G26" s="121"/>
      <c r="H26" s="121"/>
      <c r="I26" s="23"/>
      <c r="J26" s="387"/>
      <c r="K26" s="387"/>
      <c r="L26" s="388"/>
      <c r="M26" s="388"/>
      <c r="N26" s="388"/>
      <c r="O26" s="388"/>
      <c r="P26" s="390"/>
      <c r="Q26" s="411"/>
      <c r="R26" s="411"/>
      <c r="S26" s="411"/>
      <c r="T26" s="411"/>
      <c r="U26" s="411"/>
      <c r="V26" s="411"/>
      <c r="W26" s="411"/>
      <c r="X26" s="411"/>
      <c r="Y26" s="23"/>
      <c r="Z26" s="23"/>
      <c r="AA26" s="23"/>
      <c r="AB26" s="23"/>
      <c r="AC26" s="23"/>
      <c r="AD26" s="23"/>
      <c r="AE26" s="338" t="str">
        <f>AM41&amp;" in "&amp;AM42&amp;", with "&amp;AM43&amp;" spark in "&amp;AM44&amp;" decan, expressed through "&amp;AM45&amp;" with "&amp;AM46&amp;" and "&amp;AM48&amp;" base (through "&amp;AM47&amp;" and "&amp;AM49&amp;")"</f>
        <v xml:space="preserve"> in , with  spark in Not Found decan, expressed through  with  and  base (through  and )</v>
      </c>
      <c r="AF26" s="339"/>
      <c r="AG26" s="339"/>
      <c r="AH26" s="339"/>
      <c r="AI26" s="339"/>
      <c r="AJ26" s="339"/>
      <c r="AK26" s="339"/>
      <c r="AL26" s="339"/>
      <c r="AM26" s="339"/>
      <c r="AN26" s="339"/>
      <c r="AO26" s="339"/>
      <c r="AP26" s="339"/>
      <c r="AQ26" s="339"/>
      <c r="AR26" s="340"/>
      <c r="AS26" s="23"/>
      <c r="AT26" s="23"/>
      <c r="AU26" s="23"/>
      <c r="AV26" s="23"/>
      <c r="AW26" s="23"/>
      <c r="AX26" s="23"/>
      <c r="AY26" s="23"/>
      <c r="AZ26" s="23"/>
      <c r="BA26" s="23"/>
      <c r="BB26" s="23"/>
      <c r="BC26" s="23"/>
      <c r="BD26" s="23"/>
      <c r="BE26" s="23"/>
      <c r="BF26" s="23"/>
      <c r="BG26" s="23"/>
      <c r="BH26" s="23"/>
      <c r="BI26" s="23"/>
      <c r="BJ26" s="23"/>
      <c r="BK26" s="23"/>
    </row>
    <row r="27" spans="1:63" s="68" customFormat="1" ht="24.75" customHeight="1" thickBot="1" x14ac:dyDescent="0.3">
      <c r="A27" s="23"/>
      <c r="B27" s="23"/>
      <c r="C27" s="23"/>
      <c r="D27" s="23"/>
      <c r="E27" s="23"/>
      <c r="F27" s="23"/>
      <c r="G27" s="121"/>
      <c r="H27" s="121"/>
      <c r="I27" s="23"/>
      <c r="J27" s="403" t="s">
        <v>755</v>
      </c>
      <c r="K27" s="404"/>
      <c r="L27" s="399" t="str">
        <f>E9</f>
        <v/>
      </c>
      <c r="M27" s="421"/>
      <c r="N27" s="421"/>
      <c r="O27" s="400"/>
      <c r="P27" s="390"/>
      <c r="Q27" s="411"/>
      <c r="R27" s="411"/>
      <c r="S27" s="411"/>
      <c r="T27" s="411"/>
      <c r="U27" s="411"/>
      <c r="V27" s="411"/>
      <c r="W27" s="411"/>
      <c r="X27" s="411"/>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row>
    <row r="28" spans="1:63" s="68" customFormat="1" ht="24.75" customHeight="1" x14ac:dyDescent="0.25">
      <c r="A28" s="23"/>
      <c r="B28" s="23"/>
      <c r="C28" s="23"/>
      <c r="D28" s="23"/>
      <c r="E28" s="23"/>
      <c r="F28" s="23"/>
      <c r="G28" s="121"/>
      <c r="H28" s="121"/>
      <c r="I28" s="23"/>
      <c r="J28" s="403" t="s">
        <v>756</v>
      </c>
      <c r="K28" s="404"/>
      <c r="L28" s="399" t="str">
        <f>IFERROR(VLOOKUP(E9&amp;"-"&amp;G9&amp;"-"&amp;I5, TruePlacement_DataBase1[[#All],[Helper]:[Sign6]], 3, 0), "")</f>
        <v/>
      </c>
      <c r="M28" s="400"/>
      <c r="N28" s="405"/>
      <c r="O28" s="406"/>
      <c r="P28" s="389"/>
      <c r="Q28" s="408" t="str">
        <f>Q23&amp;" going into "&amp;N28&amp;" (with "&amp;N29&amp;" and "&amp;N30&amp;"), expressed through "&amp;N31&amp;"."</f>
        <v xml:space="preserve"> based on   through  directed into  expressed through   going into  (with  and ), expressed through .</v>
      </c>
      <c r="R28" s="392"/>
      <c r="S28" s="392"/>
      <c r="T28" s="392"/>
      <c r="U28" s="392"/>
      <c r="V28" s="392"/>
      <c r="W28" s="392"/>
      <c r="X28" s="39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row>
    <row r="29" spans="1:63" s="68" customFormat="1" ht="24.75" customHeight="1" x14ac:dyDescent="0.25">
      <c r="A29" s="23"/>
      <c r="B29" s="23"/>
      <c r="C29" s="23"/>
      <c r="D29" s="23"/>
      <c r="E29" s="23"/>
      <c r="F29" s="23"/>
      <c r="G29" s="121"/>
      <c r="H29" s="121"/>
      <c r="I29" s="23"/>
      <c r="J29" s="403" t="s">
        <v>757</v>
      </c>
      <c r="K29" s="404"/>
      <c r="L29" s="398" t="str">
        <f>IFERROR(VLOOKUP(D9&amp;"-"&amp;G9, Degree_Spark_DataBase[[Helper]:[Decan Planets]], 2, 0),"")</f>
        <v/>
      </c>
      <c r="M29" s="398"/>
      <c r="N29" s="407"/>
      <c r="O29" s="407"/>
      <c r="P29" s="389"/>
      <c r="Q29" s="409"/>
      <c r="R29" s="394"/>
      <c r="S29" s="394"/>
      <c r="T29" s="394"/>
      <c r="U29" s="394"/>
      <c r="V29" s="394"/>
      <c r="W29" s="394"/>
      <c r="X29" s="395"/>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row>
    <row r="30" spans="1:63" s="68" customFormat="1" ht="24.75" customHeight="1" x14ac:dyDescent="0.25">
      <c r="A30" s="23"/>
      <c r="B30" s="23"/>
      <c r="C30" s="23"/>
      <c r="D30" s="23"/>
      <c r="E30" s="23"/>
      <c r="F30" s="23"/>
      <c r="G30" s="121"/>
      <c r="H30" s="121"/>
      <c r="I30" s="23"/>
      <c r="J30" s="403" t="s">
        <v>758</v>
      </c>
      <c r="K30" s="404"/>
      <c r="L30" s="398" t="str">
        <f>IFERROR(VLOOKUP(D9&amp;"-"&amp;G9, Degree_Spark_DataBase[[Helper]:[Decan Planets]], 3, 0),"Not Found")</f>
        <v>Not Found</v>
      </c>
      <c r="M30" s="398"/>
      <c r="N30" s="407"/>
      <c r="O30" s="407"/>
      <c r="P30" s="389"/>
      <c r="Q30" s="409"/>
      <c r="R30" s="394"/>
      <c r="S30" s="394"/>
      <c r="T30" s="394"/>
      <c r="U30" s="394"/>
      <c r="V30" s="394"/>
      <c r="W30" s="394"/>
      <c r="X30" s="395"/>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row>
    <row r="31" spans="1:63" s="68" customFormat="1" ht="24.75" customHeight="1" x14ac:dyDescent="0.25">
      <c r="A31" s="23"/>
      <c r="B31" s="23"/>
      <c r="C31" s="23"/>
      <c r="D31" s="23"/>
      <c r="E31" s="23"/>
      <c r="F31" s="23"/>
      <c r="G31" s="23"/>
      <c r="H31" s="121"/>
      <c r="I31" s="23"/>
      <c r="J31" s="403" t="s">
        <v>759</v>
      </c>
      <c r="K31" s="404"/>
      <c r="L31" s="398" t="str">
        <f>IFERROR(VLOOKUP(E9&amp;"-"&amp;G9&amp;"-"&amp;I5, TruePlacement_DataBase1[[Helper]:[Sign3]], 4,FALSE), "")</f>
        <v/>
      </c>
      <c r="M31" s="398"/>
      <c r="N31" s="407"/>
      <c r="O31" s="407"/>
      <c r="P31" s="389"/>
      <c r="Q31" s="409"/>
      <c r="R31" s="394"/>
      <c r="S31" s="394"/>
      <c r="T31" s="394"/>
      <c r="U31" s="394"/>
      <c r="V31" s="394"/>
      <c r="W31" s="394"/>
      <c r="X31" s="395"/>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row>
    <row r="32" spans="1:63" s="68" customFormat="1" ht="24.75" customHeight="1" thickBot="1" x14ac:dyDescent="0.3">
      <c r="A32" s="23"/>
      <c r="B32" s="23"/>
      <c r="C32" s="23"/>
      <c r="D32" s="23"/>
      <c r="E32" s="23"/>
      <c r="F32" s="23"/>
      <c r="G32" s="121"/>
      <c r="H32" s="121"/>
      <c r="I32" s="23"/>
      <c r="J32" s="23"/>
      <c r="K32" s="23"/>
      <c r="L32" s="23"/>
      <c r="M32" s="23"/>
      <c r="N32" s="23"/>
      <c r="O32" s="23"/>
      <c r="P32" s="389"/>
      <c r="Q32" s="410"/>
      <c r="R32" s="396"/>
      <c r="S32" s="396"/>
      <c r="T32" s="396"/>
      <c r="U32" s="396"/>
      <c r="V32" s="396"/>
      <c r="W32" s="396"/>
      <c r="X32" s="397"/>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row>
    <row r="33" spans="1:63" s="68" customFormat="1" ht="24.75" customHeight="1" x14ac:dyDescent="0.25">
      <c r="A33" s="23"/>
      <c r="B33" s="23"/>
      <c r="C33" s="23"/>
      <c r="D33" s="23"/>
      <c r="E33" s="23"/>
      <c r="F33" s="23"/>
      <c r="G33" s="121"/>
      <c r="H33" s="121"/>
      <c r="I33" s="23"/>
      <c r="J33" s="23"/>
      <c r="K33" s="23"/>
      <c r="L33" s="23"/>
      <c r="M33" s="23"/>
      <c r="N33" s="23"/>
      <c r="O33" s="23"/>
      <c r="P33" s="389"/>
      <c r="Q33" s="389"/>
      <c r="R33" s="389"/>
      <c r="S33" s="389"/>
      <c r="T33" s="389"/>
      <c r="U33" s="389"/>
      <c r="V33" s="389"/>
      <c r="W33" s="389"/>
      <c r="X33" s="389"/>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row>
    <row r="34" spans="1:63" s="68" customFormat="1" ht="24.75" customHeight="1" x14ac:dyDescent="0.25">
      <c r="A34" s="23"/>
      <c r="B34" s="23"/>
      <c r="C34" s="23"/>
      <c r="D34" s="23"/>
      <c r="E34" s="23"/>
      <c r="F34" s="23"/>
      <c r="G34" s="121"/>
      <c r="H34" s="23"/>
      <c r="I34" s="23"/>
      <c r="J34" s="23"/>
      <c r="K34" s="23"/>
      <c r="L34" s="23"/>
      <c r="M34" s="23"/>
      <c r="N34" s="23"/>
      <c r="O34" s="23"/>
      <c r="P34" s="389"/>
      <c r="Q34" s="389"/>
      <c r="R34" s="389"/>
      <c r="S34" s="389"/>
      <c r="T34" s="389"/>
      <c r="U34" s="389"/>
      <c r="V34" s="389"/>
      <c r="W34" s="389"/>
      <c r="X34" s="389"/>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row>
    <row r="35" spans="1:63" s="68" customFormat="1" ht="24.75" customHeight="1" thickBot="1" x14ac:dyDescent="0.3">
      <c r="A35" s="23"/>
      <c r="B35" s="23"/>
      <c r="C35" s="121"/>
      <c r="D35" s="121"/>
      <c r="E35" s="121"/>
      <c r="F35" s="121"/>
      <c r="G35" s="121"/>
      <c r="H35" s="23"/>
      <c r="I35" s="23"/>
      <c r="J35" s="23"/>
      <c r="K35" s="23"/>
      <c r="L35" s="23"/>
      <c r="M35" s="23"/>
      <c r="N35" s="23"/>
      <c r="O35" s="23"/>
      <c r="P35" s="121"/>
      <c r="Q35" s="121"/>
      <c r="R35" s="121"/>
      <c r="S35" s="121"/>
      <c r="T35" s="121"/>
      <c r="U35" s="121"/>
      <c r="V35" s="121"/>
      <c r="W35" s="23"/>
      <c r="X35" s="23"/>
      <c r="Y35" s="23"/>
      <c r="Z35" s="23"/>
      <c r="AA35" s="23"/>
      <c r="AB35" s="23"/>
      <c r="AC35" s="23"/>
      <c r="AD35" s="23"/>
      <c r="AE35" s="23" t="s">
        <v>133</v>
      </c>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row>
    <row r="36" spans="1:63" s="68" customFormat="1" ht="21" customHeight="1" thickBot="1" x14ac:dyDescent="0.35">
      <c r="A36" s="23"/>
      <c r="B36" s="23"/>
      <c r="C36" s="122" t="s">
        <v>711</v>
      </c>
      <c r="D36" s="121"/>
      <c r="E36" s="121"/>
      <c r="F36" s="121"/>
      <c r="G36" s="121"/>
      <c r="H36" s="121"/>
      <c r="I36" s="121"/>
      <c r="J36" s="121"/>
      <c r="K36" s="121"/>
      <c r="L36" s="121"/>
      <c r="M36" s="121"/>
      <c r="N36" s="121"/>
      <c r="O36" s="121"/>
      <c r="P36" s="121"/>
      <c r="Q36" s="121"/>
      <c r="R36" s="121"/>
      <c r="S36" s="121"/>
      <c r="T36" s="121"/>
      <c r="U36" s="121"/>
      <c r="V36" s="121"/>
      <c r="W36" s="23"/>
      <c r="X36" s="23"/>
      <c r="Y36" s="23"/>
      <c r="Z36" s="23"/>
      <c r="AA36" s="23"/>
      <c r="AB36" s="23"/>
      <c r="AC36" s="23"/>
      <c r="AD36" s="23"/>
      <c r="AE36" s="261" t="str">
        <f>AG41&amp;" is "&amp;AG42&amp;", with "&amp;AG43&amp;" spark in "&amp;AG44&amp;" decan, expressed through "&amp;AG45&amp;" with "&amp;AG46&amp;" base (through "&amp;AG47&amp;")"</f>
        <v>0 is , with spark spark in decan decan, expressed through  with  base (through )</v>
      </c>
      <c r="AF36" s="262"/>
      <c r="AG36" s="262"/>
      <c r="AH36" s="262"/>
      <c r="AI36" s="262"/>
      <c r="AJ36" s="262"/>
      <c r="AK36" s="262"/>
      <c r="AL36" s="262"/>
      <c r="AM36" s="262"/>
      <c r="AN36" s="262"/>
      <c r="AO36" s="262"/>
      <c r="AP36" s="262"/>
      <c r="AQ36" s="262"/>
      <c r="AR36" s="263"/>
      <c r="AS36" s="23"/>
      <c r="AT36" s="23"/>
      <c r="AU36" s="23"/>
      <c r="AV36" s="23"/>
      <c r="AW36" s="23"/>
      <c r="AX36" s="23"/>
      <c r="AY36" s="23"/>
      <c r="AZ36" s="23"/>
      <c r="BA36" s="23"/>
      <c r="BB36" s="23"/>
      <c r="BC36" s="23"/>
      <c r="BD36" s="23"/>
      <c r="BE36" s="23"/>
      <c r="BF36" s="23"/>
      <c r="BG36" s="23"/>
      <c r="BH36" s="23"/>
      <c r="BI36" s="23"/>
      <c r="BJ36" s="23"/>
      <c r="BK36" s="23"/>
    </row>
    <row r="37" spans="1:63" s="68" customFormat="1" ht="8.25" customHeight="1" thickBot="1" x14ac:dyDescent="0.3">
      <c r="A37" s="23"/>
      <c r="B37" s="23"/>
      <c r="C37" s="121"/>
      <c r="D37" s="121"/>
      <c r="E37" s="121"/>
      <c r="F37" s="121"/>
      <c r="G37" s="121"/>
      <c r="H37" s="121"/>
      <c r="I37" s="121"/>
      <c r="J37" s="121"/>
      <c r="K37" s="121"/>
      <c r="L37" s="121"/>
      <c r="M37" s="121"/>
      <c r="N37" s="121"/>
      <c r="O37" s="121"/>
      <c r="P37" s="121"/>
      <c r="Q37" s="121"/>
      <c r="R37" s="121"/>
      <c r="S37" s="121"/>
      <c r="T37" s="121"/>
      <c r="U37" s="121"/>
      <c r="V37" s="121"/>
      <c r="W37" s="23"/>
      <c r="X37" s="23"/>
      <c r="Y37" s="23"/>
      <c r="Z37" s="23"/>
      <c r="AA37" s="23"/>
      <c r="AB37" s="23"/>
      <c r="AC37" s="23"/>
      <c r="AD37" s="23"/>
      <c r="AE37" s="255" t="str">
        <f>AG41&amp;" is "&amp;AG42&amp;", with "&amp;AG43&amp;" spark in "&amp;AG44&amp;" decan, expressed through "&amp;AG45&amp;" with "&amp;AG46&amp;" and "&amp;AG48&amp;" base (through "&amp;AG47&amp;" and "&amp;AG49&amp;")"</f>
        <v>0 is , with spark spark in decan decan, expressed through  with  and  base (through  and )</v>
      </c>
      <c r="AF37" s="256"/>
      <c r="AG37" s="256"/>
      <c r="AH37" s="256"/>
      <c r="AI37" s="256"/>
      <c r="AJ37" s="256"/>
      <c r="AK37" s="256"/>
      <c r="AL37" s="256"/>
      <c r="AM37" s="256"/>
      <c r="AN37" s="256"/>
      <c r="AO37" s="256"/>
      <c r="AP37" s="256"/>
      <c r="AQ37" s="256"/>
      <c r="AR37" s="257"/>
      <c r="AS37" s="23"/>
      <c r="AT37" s="23"/>
      <c r="AU37" s="23"/>
      <c r="AV37" s="23"/>
      <c r="AW37" s="23"/>
      <c r="AX37" s="23"/>
      <c r="AY37" s="23"/>
      <c r="AZ37" s="23"/>
      <c r="BA37" s="23"/>
      <c r="BB37" s="23"/>
      <c r="BC37" s="23"/>
      <c r="BD37" s="23"/>
      <c r="BE37" s="23"/>
      <c r="BF37" s="23"/>
      <c r="BG37" s="23"/>
      <c r="BH37" s="23"/>
      <c r="BI37" s="23"/>
      <c r="BJ37" s="23"/>
      <c r="BK37" s="23"/>
    </row>
    <row r="38" spans="1:63" s="68" customFormat="1" ht="16.5" thickTop="1" thickBot="1" x14ac:dyDescent="0.3">
      <c r="A38" s="23"/>
      <c r="B38" s="23"/>
      <c r="C38" s="270"/>
      <c r="D38" s="271"/>
      <c r="E38" s="271"/>
      <c r="F38" s="271"/>
      <c r="G38" s="271"/>
      <c r="H38" s="271"/>
      <c r="I38" s="271"/>
      <c r="J38" s="271"/>
      <c r="K38" s="271"/>
      <c r="L38" s="271"/>
      <c r="M38" s="271"/>
      <c r="N38" s="271"/>
      <c r="O38" s="271"/>
      <c r="P38" s="271"/>
      <c r="Q38" s="271"/>
      <c r="R38" s="271"/>
      <c r="S38" s="272"/>
      <c r="T38" s="121"/>
      <c r="U38" s="121"/>
      <c r="V38" s="121"/>
      <c r="W38" s="23"/>
      <c r="X38" s="23"/>
      <c r="Y38" s="23"/>
      <c r="Z38" s="23"/>
      <c r="AA38" s="23"/>
      <c r="AB38" s="23"/>
      <c r="AC38" s="23"/>
      <c r="AD38" s="23"/>
      <c r="AE38" s="258"/>
      <c r="AF38" s="259"/>
      <c r="AG38" s="259"/>
      <c r="AH38" s="259"/>
      <c r="AI38" s="259"/>
      <c r="AJ38" s="259"/>
      <c r="AK38" s="259"/>
      <c r="AL38" s="259"/>
      <c r="AM38" s="259"/>
      <c r="AN38" s="259"/>
      <c r="AO38" s="259"/>
      <c r="AP38" s="259"/>
      <c r="AQ38" s="259"/>
      <c r="AR38" s="260"/>
      <c r="AS38" s="23"/>
      <c r="AT38" s="23"/>
      <c r="AU38" s="23"/>
      <c r="AV38" s="23"/>
      <c r="AW38" s="23"/>
      <c r="AX38" s="23"/>
      <c r="AY38" s="23"/>
      <c r="AZ38" s="23"/>
      <c r="BA38" s="23"/>
      <c r="BB38" s="23"/>
      <c r="BC38" s="23"/>
      <c r="BD38" s="23"/>
      <c r="BE38" s="23"/>
      <c r="BF38" s="23"/>
      <c r="BG38" s="23"/>
      <c r="BH38" s="23"/>
      <c r="BI38" s="23"/>
      <c r="BJ38" s="23"/>
      <c r="BK38" s="23"/>
    </row>
    <row r="39" spans="1:63" s="68" customFormat="1" ht="15.75" thickBot="1" x14ac:dyDescent="0.3">
      <c r="A39" s="23"/>
      <c r="B39" s="23"/>
      <c r="C39" s="273"/>
      <c r="D39" s="274"/>
      <c r="E39" s="274"/>
      <c r="F39" s="274"/>
      <c r="G39" s="274"/>
      <c r="H39" s="274"/>
      <c r="I39" s="274"/>
      <c r="J39" s="274"/>
      <c r="K39" s="274"/>
      <c r="L39" s="274"/>
      <c r="M39" s="274"/>
      <c r="N39" s="274"/>
      <c r="O39" s="274"/>
      <c r="P39" s="274"/>
      <c r="Q39" s="274"/>
      <c r="R39" s="274"/>
      <c r="S39" s="275"/>
      <c r="T39" s="121"/>
      <c r="U39" s="121"/>
      <c r="V39" s="121"/>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row>
    <row r="40" spans="1:63" s="68" customFormat="1" x14ac:dyDescent="0.25">
      <c r="A40" s="23"/>
      <c r="B40" s="23"/>
      <c r="C40" s="273"/>
      <c r="D40" s="274"/>
      <c r="E40" s="274"/>
      <c r="F40" s="274"/>
      <c r="G40" s="274"/>
      <c r="H40" s="274"/>
      <c r="I40" s="274"/>
      <c r="J40" s="274"/>
      <c r="K40" s="274"/>
      <c r="L40" s="274"/>
      <c r="M40" s="274"/>
      <c r="N40" s="274"/>
      <c r="O40" s="274"/>
      <c r="P40" s="274"/>
      <c r="Q40" s="274"/>
      <c r="R40" s="274"/>
      <c r="S40" s="275"/>
      <c r="T40" s="121"/>
      <c r="U40" s="121"/>
      <c r="V40" s="121"/>
      <c r="W40" s="23"/>
      <c r="X40" s="23"/>
      <c r="Y40" s="23"/>
      <c r="Z40" s="23"/>
      <c r="AA40" s="23"/>
      <c r="AB40" s="23"/>
      <c r="AC40" s="23"/>
      <c r="AD40" s="23"/>
      <c r="AE40" s="170" t="s">
        <v>133</v>
      </c>
      <c r="AF40" s="171"/>
      <c r="AG40" s="171"/>
      <c r="AH40" s="171"/>
      <c r="AI40" s="172"/>
      <c r="AJ40" s="23"/>
      <c r="AK40" s="154" t="s">
        <v>725</v>
      </c>
      <c r="AL40" s="155"/>
      <c r="AM40" s="155"/>
      <c r="AN40" s="155"/>
      <c r="AO40" s="156"/>
      <c r="AP40" s="159"/>
      <c r="AQ40" s="23"/>
      <c r="AR40" s="23"/>
      <c r="AS40" s="23"/>
      <c r="AT40" s="23"/>
      <c r="AU40" s="23"/>
      <c r="AV40" s="23"/>
      <c r="AW40" s="23"/>
      <c r="AX40" s="23"/>
      <c r="AY40" s="23"/>
      <c r="AZ40" s="23"/>
      <c r="BA40" s="23"/>
      <c r="BB40" s="23"/>
      <c r="BC40" s="23"/>
      <c r="BD40" s="23"/>
      <c r="BE40" s="23"/>
      <c r="BF40" s="23"/>
      <c r="BG40" s="23"/>
      <c r="BH40" s="23"/>
      <c r="BI40" s="23"/>
      <c r="BJ40" s="23"/>
      <c r="BK40" s="23"/>
    </row>
    <row r="41" spans="1:63" s="68" customFormat="1" x14ac:dyDescent="0.25">
      <c r="A41" s="23"/>
      <c r="B41" s="23"/>
      <c r="C41" s="273"/>
      <c r="D41" s="274"/>
      <c r="E41" s="274"/>
      <c r="F41" s="274"/>
      <c r="G41" s="274"/>
      <c r="H41" s="274"/>
      <c r="I41" s="274"/>
      <c r="J41" s="274"/>
      <c r="K41" s="274"/>
      <c r="L41" s="274"/>
      <c r="M41" s="274"/>
      <c r="N41" s="274"/>
      <c r="O41" s="274"/>
      <c r="P41" s="274"/>
      <c r="Q41" s="274"/>
      <c r="R41" s="274"/>
      <c r="S41" s="275"/>
      <c r="T41" s="121"/>
      <c r="U41" s="121"/>
      <c r="V41" s="121"/>
      <c r="W41" s="23"/>
      <c r="X41" s="23"/>
      <c r="Y41" s="23"/>
      <c r="Z41" s="23"/>
      <c r="AA41" s="23"/>
      <c r="AB41" s="23"/>
      <c r="AC41" s="23"/>
      <c r="AD41" s="23"/>
      <c r="AE41" s="173"/>
      <c r="AF41" s="178" t="s">
        <v>716</v>
      </c>
      <c r="AG41" s="179">
        <f>L5</f>
        <v>0</v>
      </c>
      <c r="AH41" s="387"/>
      <c r="AI41" s="174"/>
      <c r="AJ41" s="23"/>
      <c r="AK41" s="159"/>
      <c r="AL41" s="178" t="s">
        <v>716</v>
      </c>
      <c r="AM41" s="191" t="str">
        <f>E9</f>
        <v/>
      </c>
      <c r="AN41" s="401"/>
      <c r="AO41" s="160"/>
      <c r="AP41" s="159"/>
      <c r="AQ41" s="23"/>
      <c r="AR41" s="23"/>
      <c r="AS41" s="23"/>
      <c r="AT41" s="23"/>
      <c r="AU41" s="23"/>
      <c r="AV41" s="23"/>
      <c r="AW41" s="23"/>
      <c r="AX41" s="23"/>
      <c r="AY41" s="23"/>
      <c r="AZ41" s="23"/>
      <c r="BA41" s="23"/>
      <c r="BB41" s="23"/>
      <c r="BC41" s="23"/>
      <c r="BD41" s="23"/>
      <c r="BE41" s="23"/>
      <c r="BF41" s="23"/>
      <c r="BG41" s="23"/>
      <c r="BH41" s="23"/>
      <c r="BI41" s="23"/>
      <c r="BJ41" s="23"/>
      <c r="BK41" s="23"/>
    </row>
    <row r="42" spans="1:63" s="68" customFormat="1" x14ac:dyDescent="0.25">
      <c r="A42" s="23"/>
      <c r="B42" s="23"/>
      <c r="C42" s="273"/>
      <c r="D42" s="274"/>
      <c r="E42" s="274"/>
      <c r="F42" s="274"/>
      <c r="G42" s="274"/>
      <c r="H42" s="274"/>
      <c r="I42" s="274"/>
      <c r="J42" s="274"/>
      <c r="K42" s="274"/>
      <c r="L42" s="274"/>
      <c r="M42" s="274"/>
      <c r="N42" s="274"/>
      <c r="O42" s="274"/>
      <c r="P42" s="274"/>
      <c r="Q42" s="274"/>
      <c r="R42" s="274"/>
      <c r="S42" s="275"/>
      <c r="T42" s="121"/>
      <c r="U42" s="121"/>
      <c r="V42" s="121"/>
      <c r="W42" s="23"/>
      <c r="X42" s="23"/>
      <c r="Y42" s="23"/>
      <c r="Z42" s="23"/>
      <c r="AA42" s="23"/>
      <c r="AB42" s="23"/>
      <c r="AC42" s="23"/>
      <c r="AD42" s="23"/>
      <c r="AE42" s="173"/>
      <c r="AF42" s="178" t="s">
        <v>719</v>
      </c>
      <c r="AG42" s="179" t="str">
        <f>N5</f>
        <v/>
      </c>
      <c r="AH42" s="387"/>
      <c r="AI42" s="174"/>
      <c r="AJ42" s="23"/>
      <c r="AK42" s="159"/>
      <c r="AL42" s="178" t="s">
        <v>719</v>
      </c>
      <c r="AM42" s="179" t="str">
        <f>IFERROR(VLOOKUP(E9&amp;"-"&amp;G9&amp;"-"&amp;I5, TruePlacement_DataBase1[[#All],[Helper]:[Sign6]], 3, 0), "")</f>
        <v/>
      </c>
      <c r="AN42" s="387"/>
      <c r="AO42" s="160"/>
      <c r="AP42" s="159"/>
      <c r="AQ42" s="23"/>
      <c r="AR42" s="23"/>
      <c r="AS42" s="23"/>
      <c r="AT42" s="23"/>
      <c r="AU42" s="23"/>
      <c r="AV42" s="23"/>
      <c r="AW42" s="23"/>
      <c r="AX42" s="23"/>
      <c r="AY42" s="23"/>
      <c r="AZ42" s="23"/>
      <c r="BA42" s="23"/>
      <c r="BB42" s="23"/>
      <c r="BC42" s="23"/>
      <c r="BD42" s="23"/>
      <c r="BE42" s="23"/>
      <c r="BF42" s="23"/>
      <c r="BG42" s="23"/>
      <c r="BH42" s="23"/>
      <c r="BI42" s="23"/>
      <c r="BJ42" s="23"/>
      <c r="BK42" s="23"/>
    </row>
    <row r="43" spans="1:63" s="68" customFormat="1" x14ac:dyDescent="0.25">
      <c r="A43" s="23"/>
      <c r="B43" s="23"/>
      <c r="C43" s="273"/>
      <c r="D43" s="274"/>
      <c r="E43" s="274"/>
      <c r="F43" s="274"/>
      <c r="G43" s="274"/>
      <c r="H43" s="274"/>
      <c r="I43" s="274"/>
      <c r="J43" s="274"/>
      <c r="K43" s="274"/>
      <c r="L43" s="274"/>
      <c r="M43" s="274"/>
      <c r="N43" s="274"/>
      <c r="O43" s="274"/>
      <c r="P43" s="274"/>
      <c r="Q43" s="274"/>
      <c r="R43" s="274"/>
      <c r="S43" s="275"/>
      <c r="T43" s="121"/>
      <c r="U43" s="121"/>
      <c r="V43" s="121"/>
      <c r="W43" s="23"/>
      <c r="X43" s="23"/>
      <c r="Y43" s="23"/>
      <c r="Z43" s="23"/>
      <c r="AA43" s="23"/>
      <c r="AB43" s="23"/>
      <c r="AC43" s="23"/>
      <c r="AD43" s="23"/>
      <c r="AE43" s="173"/>
      <c r="AF43" s="178" t="s">
        <v>717</v>
      </c>
      <c r="AG43" s="427" t="str">
        <f>P6</f>
        <v>spark</v>
      </c>
      <c r="AH43" s="428"/>
      <c r="AI43" s="174"/>
      <c r="AJ43" s="23"/>
      <c r="AK43" s="159"/>
      <c r="AL43" s="178" t="s">
        <v>717</v>
      </c>
      <c r="AM43" s="427" t="str">
        <f>IFERROR(VLOOKUP(D9&amp;"-"&amp;G9, Degree_Spark_DataBase[[Helper]:[Decan Planets]], 2, 0),"")</f>
        <v/>
      </c>
      <c r="AN43" s="428"/>
      <c r="AO43" s="160"/>
      <c r="AP43" s="159"/>
      <c r="AQ43" s="23"/>
      <c r="AR43" s="23"/>
      <c r="AS43" s="23"/>
      <c r="AT43" s="23"/>
      <c r="AU43" s="23"/>
      <c r="AV43" s="23"/>
      <c r="AW43" s="23"/>
      <c r="AX43" s="23"/>
      <c r="AY43" s="23"/>
      <c r="AZ43" s="23"/>
      <c r="BA43" s="23"/>
      <c r="BB43" s="23"/>
      <c r="BC43" s="23"/>
      <c r="BD43" s="23"/>
      <c r="BE43" s="23"/>
      <c r="BF43" s="23"/>
      <c r="BG43" s="23"/>
      <c r="BH43" s="23"/>
      <c r="BI43" s="23"/>
      <c r="BJ43" s="23"/>
      <c r="BK43" s="23"/>
    </row>
    <row r="44" spans="1:63" s="68" customFormat="1" x14ac:dyDescent="0.25">
      <c r="A44" s="23"/>
      <c r="B44" s="23"/>
      <c r="C44" s="273"/>
      <c r="D44" s="274"/>
      <c r="E44" s="274"/>
      <c r="F44" s="274"/>
      <c r="G44" s="274"/>
      <c r="H44" s="274"/>
      <c r="I44" s="274"/>
      <c r="J44" s="274"/>
      <c r="K44" s="274"/>
      <c r="L44" s="274"/>
      <c r="M44" s="274"/>
      <c r="N44" s="274"/>
      <c r="O44" s="274"/>
      <c r="P44" s="274"/>
      <c r="Q44" s="274"/>
      <c r="R44" s="274"/>
      <c r="S44" s="275"/>
      <c r="T44" s="121"/>
      <c r="U44" s="121"/>
      <c r="V44" s="121"/>
      <c r="W44" s="23"/>
      <c r="X44" s="23"/>
      <c r="Y44" s="23"/>
      <c r="Z44" s="23"/>
      <c r="AA44" s="23"/>
      <c r="AB44" s="23"/>
      <c r="AC44" s="23"/>
      <c r="AD44" s="23"/>
      <c r="AE44" s="173"/>
      <c r="AF44" s="178" t="s">
        <v>718</v>
      </c>
      <c r="AG44" s="427" t="str">
        <f>R6</f>
        <v>decan</v>
      </c>
      <c r="AH44" s="429"/>
      <c r="AI44" s="174"/>
      <c r="AJ44" s="23"/>
      <c r="AK44" s="159"/>
      <c r="AL44" s="178" t="s">
        <v>718</v>
      </c>
      <c r="AM44" s="427" t="str">
        <f>IFERROR(VLOOKUP(D9&amp;"-"&amp;G9, Degree_Spark_DataBase[[Helper]:[Decan Planets]], 3, 0),"Not Found")</f>
        <v>Not Found</v>
      </c>
      <c r="AN44" s="429"/>
      <c r="AO44" s="160"/>
      <c r="AP44" s="159"/>
      <c r="AQ44" s="23"/>
      <c r="AR44" s="23"/>
      <c r="AS44" s="23"/>
      <c r="AT44" s="23"/>
      <c r="AU44" s="23"/>
      <c r="AV44" s="23"/>
      <c r="AW44" s="23"/>
      <c r="AX44" s="23"/>
      <c r="AY44" s="23"/>
      <c r="AZ44" s="23"/>
      <c r="BA44" s="23"/>
      <c r="BB44" s="23"/>
      <c r="BC44" s="23"/>
      <c r="BD44" s="23"/>
      <c r="BE44" s="23"/>
      <c r="BF44" s="23"/>
      <c r="BG44" s="23"/>
      <c r="BH44" s="23"/>
      <c r="BI44" s="23"/>
      <c r="BJ44" s="23"/>
      <c r="BK44" s="23"/>
    </row>
    <row r="45" spans="1:63" s="68" customFormat="1" ht="15.75" thickBot="1" x14ac:dyDescent="0.3">
      <c r="A45" s="23"/>
      <c r="B45" s="23"/>
      <c r="C45" s="273"/>
      <c r="D45" s="274"/>
      <c r="E45" s="274"/>
      <c r="F45" s="274"/>
      <c r="G45" s="274"/>
      <c r="H45" s="274"/>
      <c r="I45" s="274"/>
      <c r="J45" s="274"/>
      <c r="K45" s="274"/>
      <c r="L45" s="274"/>
      <c r="M45" s="274"/>
      <c r="N45" s="274"/>
      <c r="O45" s="274"/>
      <c r="P45" s="274"/>
      <c r="Q45" s="274"/>
      <c r="R45" s="274"/>
      <c r="S45" s="275"/>
      <c r="T45" s="121"/>
      <c r="U45" s="121"/>
      <c r="V45" s="121"/>
      <c r="W45" s="23"/>
      <c r="X45" s="23"/>
      <c r="Y45" s="23"/>
      <c r="Z45" s="23"/>
      <c r="AA45" s="23"/>
      <c r="AB45" s="23"/>
      <c r="AC45" s="23"/>
      <c r="AD45" s="23"/>
      <c r="AE45" s="173"/>
      <c r="AF45" s="178" t="s">
        <v>720</v>
      </c>
      <c r="AG45" s="179" t="str">
        <f>T5</f>
        <v/>
      </c>
      <c r="AH45" s="387"/>
      <c r="AI45" s="174"/>
      <c r="AJ45" s="23"/>
      <c r="AK45" s="159"/>
      <c r="AL45" s="178" t="s">
        <v>720</v>
      </c>
      <c r="AM45" s="179" t="str">
        <f>IFERROR(VLOOKUP(E9&amp;"-"&amp;G9&amp;"-"&amp;I5, TruePlacement_DataBase1[[Helper]:[Sign3]], 4,FALSE), "")</f>
        <v/>
      </c>
      <c r="AN45" s="387"/>
      <c r="AO45" s="160"/>
      <c r="AP45" s="159"/>
      <c r="AQ45" s="23"/>
      <c r="AR45" s="180" t="s">
        <v>746</v>
      </c>
      <c r="AS45" s="23" t="str">
        <f xml:space="preserve"> AF22</f>
        <v xml:space="preserve"> rising with  in  at </v>
      </c>
      <c r="AT45" s="23"/>
      <c r="AU45" s="23"/>
      <c r="AV45" s="23"/>
      <c r="AW45" s="23"/>
      <c r="AX45" s="23"/>
      <c r="AY45" s="23"/>
      <c r="AZ45" s="23"/>
      <c r="BA45" s="23"/>
      <c r="BB45" s="23"/>
      <c r="BC45" s="23"/>
      <c r="BD45" s="23"/>
      <c r="BE45" s="23"/>
      <c r="BF45" s="23"/>
      <c r="BG45" s="23"/>
      <c r="BH45" s="23"/>
      <c r="BI45" s="23"/>
      <c r="BJ45" s="23"/>
      <c r="BK45" s="23"/>
    </row>
    <row r="46" spans="1:63" s="68" customFormat="1" x14ac:dyDescent="0.25">
      <c r="A46" s="23"/>
      <c r="B46" s="23"/>
      <c r="C46" s="273"/>
      <c r="D46" s="274"/>
      <c r="E46" s="274"/>
      <c r="F46" s="274"/>
      <c r="G46" s="274"/>
      <c r="H46" s="274"/>
      <c r="I46" s="274"/>
      <c r="J46" s="274"/>
      <c r="K46" s="274"/>
      <c r="L46" s="274"/>
      <c r="M46" s="274"/>
      <c r="N46" s="274"/>
      <c r="O46" s="274"/>
      <c r="P46" s="274"/>
      <c r="Q46" s="274"/>
      <c r="R46" s="274"/>
      <c r="S46" s="275"/>
      <c r="T46" s="121"/>
      <c r="U46" s="121"/>
      <c r="V46" s="121"/>
      <c r="W46" s="23"/>
      <c r="X46" s="23"/>
      <c r="Y46" s="23"/>
      <c r="Z46" s="23"/>
      <c r="AA46" s="23"/>
      <c r="AB46" s="23"/>
      <c r="AC46" s="23"/>
      <c r="AD46" s="23"/>
      <c r="AE46" s="252" t="s">
        <v>721</v>
      </c>
      <c r="AF46" s="180" t="s">
        <v>723</v>
      </c>
      <c r="AG46" s="179" t="str">
        <f>V6</f>
        <v/>
      </c>
      <c r="AH46" s="387"/>
      <c r="AI46" s="174"/>
      <c r="AJ46" s="23"/>
      <c r="AK46" s="323" t="s">
        <v>721</v>
      </c>
      <c r="AL46" s="180" t="s">
        <v>723</v>
      </c>
      <c r="AM46" s="179" t="str">
        <f>IFERROR(VLOOKUP(E9&amp;"-"&amp;G9&amp;"-"&amp;I5, TruePlacement_DataBase1[[Helper]:[Sign3]], 6,FALSE), "")</f>
        <v/>
      </c>
      <c r="AN46" s="387"/>
      <c r="AO46" s="160"/>
      <c r="AP46" s="159"/>
      <c r="AQ46" s="23"/>
      <c r="AR46" s="180" t="s">
        <v>745</v>
      </c>
      <c r="AS46" s="23" t="e">
        <f>U10</f>
        <v>#N/A</v>
      </c>
      <c r="AT46" s="23"/>
      <c r="AU46" s="23"/>
      <c r="AV46" s="23"/>
      <c r="AW46" s="23"/>
      <c r="AX46" s="23"/>
      <c r="AY46" s="23"/>
      <c r="AZ46" s="23"/>
      <c r="BA46" s="23"/>
      <c r="BB46" s="23"/>
      <c r="BC46" s="23"/>
      <c r="BD46" s="23"/>
      <c r="BE46" s="23"/>
      <c r="BF46" s="23"/>
      <c r="BG46" s="23"/>
      <c r="BH46" s="23"/>
      <c r="BI46" s="23"/>
      <c r="BJ46" s="23"/>
      <c r="BK46" s="23"/>
    </row>
    <row r="47" spans="1:63" s="68" customFormat="1" ht="15.75" thickBot="1" x14ac:dyDescent="0.3">
      <c r="A47" s="23"/>
      <c r="B47" s="23"/>
      <c r="C47" s="273"/>
      <c r="D47" s="274"/>
      <c r="E47" s="274"/>
      <c r="F47" s="274"/>
      <c r="G47" s="274"/>
      <c r="H47" s="274"/>
      <c r="I47" s="274"/>
      <c r="J47" s="274"/>
      <c r="K47" s="274"/>
      <c r="L47" s="274"/>
      <c r="M47" s="274"/>
      <c r="N47" s="274"/>
      <c r="O47" s="274"/>
      <c r="P47" s="274"/>
      <c r="Q47" s="274"/>
      <c r="R47" s="274"/>
      <c r="S47" s="275"/>
      <c r="T47" s="121"/>
      <c r="U47" s="121"/>
      <c r="V47" s="121"/>
      <c r="W47" s="23"/>
      <c r="X47" s="23"/>
      <c r="Y47" s="23"/>
      <c r="Z47" s="23"/>
      <c r="AA47" s="23"/>
      <c r="AB47" s="23"/>
      <c r="AC47" s="23"/>
      <c r="AD47" s="23"/>
      <c r="AE47" s="253"/>
      <c r="AF47" s="180" t="s">
        <v>722</v>
      </c>
      <c r="AG47" s="179" t="str">
        <f>V7</f>
        <v/>
      </c>
      <c r="AH47" s="387"/>
      <c r="AI47" s="174"/>
      <c r="AJ47" s="23"/>
      <c r="AK47" s="324"/>
      <c r="AL47" s="180" t="s">
        <v>722</v>
      </c>
      <c r="AM47" s="179" t="str">
        <f>IFERROR(VLOOKUP(E9&amp;"-"&amp;G9&amp;"-"&amp;I5, TruePlacement_DataBase1[[Helper]:[Sign5]], 7,0), "")</f>
        <v/>
      </c>
      <c r="AN47" s="387"/>
      <c r="AO47" s="160"/>
      <c r="AP47" s="159"/>
      <c r="AQ47" s="23"/>
      <c r="AR47" s="180" t="s">
        <v>738</v>
      </c>
      <c r="AS47" s="23" t="e">
        <f>U17</f>
        <v>#N/A</v>
      </c>
      <c r="AT47" s="23"/>
      <c r="AU47" s="23"/>
      <c r="AV47" s="23"/>
      <c r="AW47" s="23"/>
      <c r="AX47" s="23"/>
      <c r="AY47" s="23"/>
      <c r="AZ47" s="23"/>
      <c r="BA47" s="23"/>
      <c r="BB47" s="23"/>
      <c r="BC47" s="23"/>
      <c r="BD47" s="23"/>
      <c r="BE47" s="23"/>
      <c r="BF47" s="23"/>
      <c r="BG47" s="23"/>
      <c r="BH47" s="23"/>
      <c r="BI47" s="23"/>
      <c r="BJ47" s="23"/>
      <c r="BK47" s="23"/>
    </row>
    <row r="48" spans="1:63" s="68" customFormat="1" ht="15.75" thickBot="1" x14ac:dyDescent="0.3">
      <c r="A48" s="23"/>
      <c r="B48" s="23"/>
      <c r="C48" s="276"/>
      <c r="D48" s="277"/>
      <c r="E48" s="277"/>
      <c r="F48" s="277"/>
      <c r="G48" s="277"/>
      <c r="H48" s="277"/>
      <c r="I48" s="277"/>
      <c r="J48" s="277"/>
      <c r="K48" s="277"/>
      <c r="L48" s="277"/>
      <c r="M48" s="277"/>
      <c r="N48" s="277"/>
      <c r="O48" s="277"/>
      <c r="P48" s="277"/>
      <c r="Q48" s="277"/>
      <c r="R48" s="277"/>
      <c r="S48" s="278"/>
      <c r="T48" s="121"/>
      <c r="U48" s="121"/>
      <c r="V48" s="121"/>
      <c r="W48" s="23"/>
      <c r="X48" s="23"/>
      <c r="Y48" s="23"/>
      <c r="Z48" s="23"/>
      <c r="AA48" s="23"/>
      <c r="AB48" s="23"/>
      <c r="AC48" s="23"/>
      <c r="AD48" s="23"/>
      <c r="AE48" s="253" t="s">
        <v>724</v>
      </c>
      <c r="AF48" s="181" t="s">
        <v>723</v>
      </c>
      <c r="AG48" s="179" t="str">
        <f>W6</f>
        <v/>
      </c>
      <c r="AH48" s="387"/>
      <c r="AI48" s="174"/>
      <c r="AJ48" s="23"/>
      <c r="AK48" s="324" t="s">
        <v>724</v>
      </c>
      <c r="AL48" s="181" t="s">
        <v>723</v>
      </c>
      <c r="AM48" s="179" t="str">
        <f>IFERROR(VLOOKUP(E9&amp;"-"&amp;G9&amp;"-"&amp;I5, TruePlacement_DataBase1[[Helper]:[Sign6]], 9, 0), "")</f>
        <v/>
      </c>
      <c r="AN48" s="387"/>
      <c r="AO48" s="160"/>
      <c r="AP48" s="159"/>
      <c r="AQ48" s="23"/>
      <c r="AR48" s="180" t="s">
        <v>764</v>
      </c>
      <c r="AS48" s="23" t="str">
        <f>Q23</f>
        <v xml:space="preserve"> based on   through  directed into  expressed through  </v>
      </c>
      <c r="AT48" s="23"/>
      <c r="AU48" s="23"/>
      <c r="AV48" s="23"/>
      <c r="AW48" s="23"/>
      <c r="AX48" s="23"/>
      <c r="AY48" s="23"/>
      <c r="AZ48" s="23"/>
      <c r="BA48" s="23"/>
      <c r="BB48" s="23"/>
      <c r="BC48" s="23"/>
      <c r="BD48" s="23"/>
      <c r="BE48" s="23"/>
      <c r="BF48" s="23"/>
      <c r="BG48" s="23"/>
      <c r="BH48" s="23"/>
      <c r="BI48" s="23"/>
      <c r="BJ48" s="23"/>
      <c r="BK48" s="23"/>
    </row>
    <row r="49" spans="1:63" s="68" customFormat="1" ht="16.5" thickTop="1" thickBot="1" x14ac:dyDescent="0.3">
      <c r="A49" s="23"/>
      <c r="B49" s="23"/>
      <c r="C49" s="121"/>
      <c r="D49" s="121"/>
      <c r="E49" s="121"/>
      <c r="F49" s="121"/>
      <c r="G49" s="121"/>
      <c r="H49" s="121"/>
      <c r="I49" s="121"/>
      <c r="J49" s="121"/>
      <c r="K49" s="121"/>
      <c r="L49" s="121"/>
      <c r="M49" s="121"/>
      <c r="N49" s="121"/>
      <c r="O49" s="121"/>
      <c r="P49" s="121"/>
      <c r="Q49" s="121"/>
      <c r="R49" s="121"/>
      <c r="S49" s="121"/>
      <c r="T49" s="121"/>
      <c r="U49" s="121"/>
      <c r="V49" s="121"/>
      <c r="W49" s="23"/>
      <c r="X49" s="23"/>
      <c r="Y49" s="23"/>
      <c r="Z49" s="23"/>
      <c r="AA49" s="23"/>
      <c r="AB49" s="23"/>
      <c r="AC49" s="23"/>
      <c r="AD49" s="23"/>
      <c r="AE49" s="254"/>
      <c r="AF49" s="182" t="s">
        <v>722</v>
      </c>
      <c r="AG49" s="179" t="str">
        <f>W7</f>
        <v/>
      </c>
      <c r="AH49" s="387"/>
      <c r="AI49" s="174"/>
      <c r="AJ49" s="23"/>
      <c r="AK49" s="325"/>
      <c r="AL49" s="182" t="s">
        <v>722</v>
      </c>
      <c r="AM49" s="179" t="str">
        <f>IFERROR(VLOOKUP(E9&amp;"-"&amp;G9&amp;"-"&amp;I5, TruePlacement_DataBase2[[Helper]:[Sign5]], 10,0), "")</f>
        <v/>
      </c>
      <c r="AN49" s="387"/>
      <c r="AO49" s="160"/>
      <c r="AP49" s="159"/>
      <c r="AQ49" s="23"/>
      <c r="AR49" s="180" t="s">
        <v>763</v>
      </c>
      <c r="AS49" s="23" t="str">
        <f>Q28</f>
        <v xml:space="preserve"> based on   through  directed into  expressed through   going into  (with  and ), expressed through .</v>
      </c>
      <c r="AT49" s="23"/>
      <c r="AU49" s="23"/>
      <c r="AV49" s="23"/>
      <c r="AW49" s="23"/>
      <c r="AX49" s="23"/>
      <c r="AY49" s="23"/>
      <c r="AZ49" s="23"/>
      <c r="BA49" s="23"/>
      <c r="BB49" s="23"/>
      <c r="BC49" s="23"/>
      <c r="BD49" s="23"/>
      <c r="BE49" s="23"/>
      <c r="BF49" s="23"/>
      <c r="BG49" s="23"/>
      <c r="BH49" s="23"/>
      <c r="BI49" s="23"/>
      <c r="BJ49" s="23"/>
      <c r="BK49" s="23"/>
    </row>
    <row r="50" spans="1:63" s="68" customFormat="1" x14ac:dyDescent="0.25">
      <c r="A50" s="23"/>
      <c r="B50" s="23"/>
      <c r="C50" s="121"/>
      <c r="D50" s="121"/>
      <c r="E50" s="121"/>
      <c r="F50" s="121"/>
      <c r="G50" s="121"/>
      <c r="H50" s="121"/>
      <c r="I50" s="121"/>
      <c r="J50" s="121"/>
      <c r="K50" s="121"/>
      <c r="L50" s="121"/>
      <c r="M50" s="121"/>
      <c r="N50" s="121"/>
      <c r="O50" s="121"/>
      <c r="P50" s="121"/>
      <c r="Q50" s="121"/>
      <c r="R50" s="121"/>
      <c r="S50" s="121"/>
      <c r="T50" s="121"/>
      <c r="U50" s="121"/>
      <c r="V50" s="121"/>
      <c r="W50" s="23"/>
      <c r="X50" s="23"/>
      <c r="Y50" s="23"/>
      <c r="Z50" s="23"/>
      <c r="AA50" s="23"/>
      <c r="AB50" s="23"/>
      <c r="AC50" s="23"/>
      <c r="AD50" s="23"/>
      <c r="AE50" s="206"/>
      <c r="AF50" s="319" t="s">
        <v>738</v>
      </c>
      <c r="AG50" s="316" t="e">
        <f>VLOOKUP(AG41,Seznami!N2:O12, 2, 0)</f>
        <v>#N/A</v>
      </c>
      <c r="AH50" s="391"/>
      <c r="AI50" s="174"/>
      <c r="AJ50" s="23"/>
      <c r="AK50" s="129"/>
      <c r="AL50" s="319" t="s">
        <v>738</v>
      </c>
      <c r="AM50" s="316" t="e">
        <f>VLOOKUP(AM41,Seznami!N2:O12, 2, 0)</f>
        <v>#N/A</v>
      </c>
      <c r="AN50" s="391"/>
      <c r="AO50" s="160"/>
      <c r="AP50" s="159"/>
      <c r="AQ50" s="23"/>
      <c r="AR50" s="23"/>
      <c r="AS50" s="23"/>
      <c r="AT50" s="23"/>
      <c r="AU50" s="23"/>
      <c r="AV50" s="23"/>
      <c r="AW50" s="23"/>
      <c r="AX50" s="23"/>
      <c r="AY50" s="23"/>
      <c r="AZ50" s="23"/>
      <c r="BA50" s="23"/>
      <c r="BB50" s="23"/>
      <c r="BC50" s="23"/>
      <c r="BD50" s="23"/>
      <c r="BE50" s="23"/>
      <c r="BF50" s="23"/>
      <c r="BG50" s="23"/>
      <c r="BH50" s="23"/>
      <c r="BI50" s="23"/>
      <c r="BJ50" s="23"/>
      <c r="BK50" s="23"/>
    </row>
    <row r="51" spans="1:63" s="68" customFormat="1" ht="15.75" thickBot="1" x14ac:dyDescent="0.3">
      <c r="A51" s="23"/>
      <c r="B51" s="23"/>
      <c r="C51" s="121"/>
      <c r="D51" s="121"/>
      <c r="E51" s="121"/>
      <c r="F51" s="121"/>
      <c r="G51" s="121"/>
      <c r="H51" s="121"/>
      <c r="I51" s="121"/>
      <c r="J51" s="121"/>
      <c r="K51" s="121"/>
      <c r="L51" s="121"/>
      <c r="M51" s="121"/>
      <c r="N51" s="121"/>
      <c r="O51" s="121"/>
      <c r="P51" s="121"/>
      <c r="Q51" s="121"/>
      <c r="R51" s="121"/>
      <c r="S51" s="121"/>
      <c r="T51" s="121"/>
      <c r="U51" s="23"/>
      <c r="V51" s="23"/>
      <c r="W51" s="23"/>
      <c r="X51" s="23"/>
      <c r="Y51" s="23"/>
      <c r="Z51" s="23"/>
      <c r="AA51" s="23"/>
      <c r="AB51" s="23"/>
      <c r="AC51" s="23"/>
      <c r="AD51" s="23"/>
      <c r="AE51" s="207"/>
      <c r="AF51" s="317"/>
      <c r="AG51" s="317"/>
      <c r="AH51" s="219"/>
      <c r="AI51" s="177"/>
      <c r="AJ51" s="23"/>
      <c r="AK51" s="157"/>
      <c r="AL51" s="318"/>
      <c r="AM51" s="318"/>
      <c r="AN51" s="220"/>
      <c r="AO51" s="158"/>
      <c r="AP51" s="159"/>
      <c r="AQ51" s="23"/>
      <c r="AR51" s="23"/>
      <c r="AS51" s="23" t="str">
        <f>AS45</f>
        <v xml:space="preserve"> rising with  in  at </v>
      </c>
      <c r="AT51" s="23"/>
      <c r="AU51" s="23"/>
      <c r="AV51" s="23"/>
      <c r="AW51" s="23"/>
      <c r="AX51" s="23"/>
      <c r="AY51" s="23"/>
      <c r="AZ51" s="23"/>
      <c r="BA51" s="23"/>
      <c r="BB51" s="23"/>
      <c r="BC51" s="23"/>
      <c r="BD51" s="23"/>
      <c r="BE51" s="23"/>
      <c r="BF51" s="23"/>
      <c r="BG51" s="23"/>
      <c r="BH51" s="23"/>
      <c r="BI51" s="23"/>
      <c r="BJ51" s="23"/>
      <c r="BK51" s="23"/>
    </row>
    <row r="52" spans="1:63" s="68" customFormat="1" x14ac:dyDescent="0.25">
      <c r="A52" s="23"/>
      <c r="B52" s="23"/>
      <c r="C52" s="121"/>
      <c r="D52" s="121"/>
      <c r="E52" s="121"/>
      <c r="F52" s="121"/>
      <c r="G52" s="121"/>
      <c r="H52" s="121"/>
      <c r="I52" s="121"/>
      <c r="J52" s="121"/>
      <c r="K52" s="121"/>
      <c r="L52" s="121"/>
      <c r="M52" s="121"/>
      <c r="N52" s="121"/>
      <c r="O52" s="121"/>
      <c r="P52" s="121"/>
      <c r="Q52" s="121"/>
      <c r="R52" s="121"/>
      <c r="S52" s="121"/>
      <c r="T52" s="121"/>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t="e">
        <f>AB70</f>
        <v>#N/A</v>
      </c>
      <c r="AT52" s="23"/>
      <c r="AU52" s="23"/>
      <c r="AV52" s="23"/>
      <c r="AW52" s="23"/>
      <c r="AX52" s="23"/>
      <c r="AY52" s="23"/>
      <c r="AZ52" s="23"/>
      <c r="BA52" s="23"/>
      <c r="BB52" s="23"/>
      <c r="BC52" s="23"/>
      <c r="BD52" s="23"/>
      <c r="BE52" s="23"/>
      <c r="BF52" s="23"/>
      <c r="BG52" s="23"/>
      <c r="BH52" s="23"/>
      <c r="BI52" s="23"/>
      <c r="BJ52" s="23"/>
      <c r="BK52" s="23"/>
    </row>
    <row r="53" spans="1:63" s="23" customFormat="1" x14ac:dyDescent="0.25">
      <c r="AS53" s="23" t="e">
        <f>AB77</f>
        <v>#N/A</v>
      </c>
    </row>
    <row r="54" spans="1:63" s="23" customFormat="1" x14ac:dyDescent="0.25">
      <c r="AS54" s="23" t="str">
        <f>Q70</f>
        <v xml:space="preserve"> based on  ( and ) through ( and ) directed into  expressed through  </v>
      </c>
    </row>
    <row r="55" spans="1:63" s="23" customFormat="1" x14ac:dyDescent="0.25">
      <c r="AS55" s="23" t="str">
        <f>Q75</f>
        <v xml:space="preserve"> based on  ( and ) through ( and ) directed into  expressed through  , going into  (with  and ), expressed through .</v>
      </c>
    </row>
    <row r="56" spans="1:63" s="23" customFormat="1" x14ac:dyDescent="0.25">
      <c r="D56" s="29"/>
    </row>
    <row r="57" spans="1:63" s="23" customFormat="1" x14ac:dyDescent="0.25">
      <c r="D57" s="27"/>
      <c r="E57" s="27"/>
    </row>
    <row r="58" spans="1:63" s="23" customFormat="1" x14ac:dyDescent="0.25">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row>
    <row r="59" spans="1:63" s="23" customFormat="1" x14ac:dyDescent="0.25">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row>
    <row r="60" spans="1:63" s="23" customFormat="1" x14ac:dyDescent="0.25">
      <c r="C60" s="27"/>
      <c r="D60" s="27"/>
      <c r="E60" s="27"/>
      <c r="F60" s="27"/>
      <c r="G60" s="27"/>
      <c r="H60" s="162" t="s">
        <v>713</v>
      </c>
      <c r="I60" s="279" t="s">
        <v>139</v>
      </c>
      <c r="J60" s="304"/>
      <c r="K60" s="162" t="s">
        <v>696</v>
      </c>
      <c r="L60" s="279" t="s">
        <v>138</v>
      </c>
      <c r="M60" s="279"/>
      <c r="N60" s="279"/>
      <c r="O60" s="162"/>
      <c r="P60" s="162" t="s">
        <v>713</v>
      </c>
      <c r="Q60" s="280" t="s">
        <v>138</v>
      </c>
      <c r="R60" s="280"/>
      <c r="S60" s="162" t="s">
        <v>714</v>
      </c>
      <c r="T60" s="279" t="s">
        <v>139</v>
      </c>
      <c r="U60" s="279"/>
      <c r="V60" s="279"/>
      <c r="W60" s="279" t="s">
        <v>715</v>
      </c>
      <c r="X60" s="279"/>
      <c r="Y60" s="279" t="s">
        <v>138</v>
      </c>
      <c r="Z60" s="279"/>
      <c r="AA60" s="279"/>
      <c r="AB60" s="279"/>
      <c r="AC60" s="279"/>
      <c r="AD60" s="279"/>
      <c r="AE60" s="279"/>
      <c r="AF60" s="161"/>
    </row>
    <row r="61" spans="1:63" s="23" customFormat="1" ht="14.25" customHeight="1" thickBot="1" x14ac:dyDescent="0.3"/>
    <row r="62" spans="1:63" s="23" customFormat="1" ht="23.25" customHeight="1" thickBot="1" x14ac:dyDescent="0.3">
      <c r="B62" s="133"/>
      <c r="C62" s="130"/>
      <c r="D62" s="130"/>
      <c r="E62" s="130"/>
      <c r="F62" s="130"/>
      <c r="G62" s="130"/>
      <c r="H62" s="130"/>
      <c r="I62" s="130"/>
      <c r="J62" s="130"/>
      <c r="K62" s="130"/>
      <c r="L62" s="130"/>
      <c r="M62" s="130"/>
      <c r="N62" s="130"/>
      <c r="O62" s="130"/>
      <c r="P62" s="130"/>
      <c r="Q62" s="130"/>
      <c r="R62" s="130"/>
      <c r="S62" s="130"/>
      <c r="T62" s="131"/>
      <c r="U62" s="131"/>
      <c r="V62" s="131"/>
      <c r="W62" s="131"/>
      <c r="X62" s="131"/>
      <c r="Y62" s="131"/>
      <c r="Z62" s="131"/>
      <c r="AA62" s="131"/>
      <c r="AB62" s="213"/>
    </row>
    <row r="63" spans="1:63" s="23" customFormat="1" ht="25.5" customHeight="1" thickTop="1" x14ac:dyDescent="0.25">
      <c r="B63" s="134"/>
      <c r="C63" s="288" t="s">
        <v>133</v>
      </c>
      <c r="D63" s="289"/>
      <c r="E63" s="145"/>
      <c r="F63" s="288" t="s">
        <v>153</v>
      </c>
      <c r="G63" s="289"/>
      <c r="H63" s="145"/>
      <c r="I63" s="288" t="s">
        <v>153</v>
      </c>
      <c r="J63" s="289"/>
      <c r="K63" s="145"/>
      <c r="L63" s="288" t="s">
        <v>60</v>
      </c>
      <c r="M63" s="290"/>
      <c r="N63" s="289"/>
      <c r="O63" s="145"/>
      <c r="P63" s="145"/>
      <c r="Q63" s="288" t="s">
        <v>60</v>
      </c>
      <c r="R63" s="289"/>
      <c r="S63" s="142"/>
      <c r="T63" s="288" t="s">
        <v>153</v>
      </c>
      <c r="U63" s="290"/>
      <c r="V63" s="289"/>
      <c r="W63" s="143"/>
      <c r="X63" s="143"/>
      <c r="Y63" s="288" t="s">
        <v>60</v>
      </c>
      <c r="Z63" s="289"/>
      <c r="AA63" s="210"/>
      <c r="AB63" s="214"/>
      <c r="AC63" s="215"/>
      <c r="AD63" s="215"/>
      <c r="AE63" s="215"/>
    </row>
    <row r="64" spans="1:63" s="23" customFormat="1" ht="26.25" customHeight="1" thickBot="1" x14ac:dyDescent="0.3">
      <c r="B64" s="134"/>
      <c r="C64" s="283">
        <f>L5</f>
        <v>0</v>
      </c>
      <c r="D64" s="284"/>
      <c r="E64" s="140"/>
      <c r="F64" s="283" t="str">
        <f>V6</f>
        <v/>
      </c>
      <c r="G64" s="284"/>
      <c r="H64" s="140"/>
      <c r="I64" s="283" t="str">
        <f>W6</f>
        <v/>
      </c>
      <c r="J64" s="284"/>
      <c r="K64" s="140"/>
      <c r="L64" s="285" t="str">
        <f>V7</f>
        <v/>
      </c>
      <c r="M64" s="286"/>
      <c r="N64" s="287"/>
      <c r="O64" s="146"/>
      <c r="P64" s="146"/>
      <c r="Q64" s="285" t="str">
        <f>W7</f>
        <v/>
      </c>
      <c r="R64" s="287"/>
      <c r="S64" s="142"/>
      <c r="T64" s="285" t="str">
        <f>N5</f>
        <v/>
      </c>
      <c r="U64" s="286"/>
      <c r="V64" s="287"/>
      <c r="W64" s="143"/>
      <c r="X64" s="143"/>
      <c r="Y64" s="285" t="str">
        <f>T5</f>
        <v/>
      </c>
      <c r="Z64" s="287"/>
      <c r="AA64" s="211"/>
      <c r="AB64" s="216"/>
      <c r="AC64" s="217"/>
      <c r="AD64" s="217"/>
      <c r="AE64" s="217"/>
    </row>
    <row r="65" spans="2:31" s="23" customFormat="1" ht="17.25" customHeight="1" thickTop="1" x14ac:dyDescent="0.25">
      <c r="B65" s="134"/>
      <c r="C65" s="140"/>
      <c r="D65" s="140"/>
      <c r="E65" s="140"/>
      <c r="F65" s="140"/>
      <c r="G65" s="140"/>
      <c r="H65" s="140"/>
      <c r="I65" s="140"/>
      <c r="J65" s="140"/>
      <c r="K65" s="140"/>
      <c r="L65" s="141"/>
      <c r="M65" s="141"/>
      <c r="N65" s="141"/>
      <c r="O65" s="141"/>
      <c r="P65" s="141"/>
      <c r="Q65" s="141"/>
      <c r="R65" s="141"/>
      <c r="S65" s="142"/>
      <c r="T65" s="143"/>
      <c r="U65" s="143"/>
      <c r="V65" s="143"/>
      <c r="W65" s="143"/>
      <c r="X65" s="143"/>
      <c r="Y65" s="143"/>
      <c r="Z65" s="143"/>
      <c r="AA65" s="143"/>
      <c r="AB65" s="213"/>
    </row>
    <row r="66" spans="2:31" s="23" customFormat="1" ht="30.75" customHeight="1" x14ac:dyDescent="0.25">
      <c r="B66" s="135"/>
      <c r="C66" s="281"/>
      <c r="D66" s="282"/>
      <c r="E66" s="76" t="s">
        <v>148</v>
      </c>
      <c r="F66" s="282"/>
      <c r="G66" s="282"/>
      <c r="H66" s="76" t="s">
        <v>141</v>
      </c>
      <c r="I66" s="282"/>
      <c r="J66" s="282"/>
      <c r="K66" s="76" t="s">
        <v>150</v>
      </c>
      <c r="L66" s="282"/>
      <c r="M66" s="282"/>
      <c r="N66" s="282"/>
      <c r="O66" s="306" t="s">
        <v>141</v>
      </c>
      <c r="P66" s="306"/>
      <c r="Q66" s="282"/>
      <c r="R66" s="282"/>
      <c r="S66" s="76" t="s">
        <v>152</v>
      </c>
      <c r="T66" s="305"/>
      <c r="U66" s="305"/>
      <c r="V66" s="305"/>
      <c r="W66" s="306" t="s">
        <v>154</v>
      </c>
      <c r="X66" s="306"/>
      <c r="Y66" s="305"/>
      <c r="Z66" s="305"/>
      <c r="AA66" s="212"/>
      <c r="AB66" s="218"/>
      <c r="AC66" s="29"/>
      <c r="AD66" s="29"/>
      <c r="AE66" s="29"/>
    </row>
    <row r="67" spans="2:31" s="23" customFormat="1" ht="18" customHeight="1" thickBot="1" x14ac:dyDescent="0.3">
      <c r="B67" s="136"/>
      <c r="C67" s="137"/>
      <c r="D67" s="137"/>
      <c r="E67" s="137"/>
      <c r="F67" s="137"/>
      <c r="G67" s="137"/>
      <c r="H67" s="137"/>
      <c r="I67" s="137"/>
      <c r="J67" s="137"/>
      <c r="K67" s="137"/>
      <c r="L67" s="138"/>
      <c r="M67" s="138"/>
      <c r="N67" s="138"/>
      <c r="O67" s="138"/>
      <c r="P67" s="138"/>
      <c r="Q67" s="138"/>
      <c r="R67" s="138"/>
      <c r="S67" s="138"/>
      <c r="T67" s="138"/>
      <c r="U67" s="138"/>
      <c r="V67" s="138"/>
      <c r="W67" s="138"/>
      <c r="X67" s="138"/>
      <c r="Y67" s="138"/>
      <c r="Z67" s="138"/>
      <c r="AA67" s="138"/>
      <c r="AB67" s="213"/>
    </row>
    <row r="68" spans="2:31" s="23" customFormat="1" x14ac:dyDescent="0.25"/>
    <row r="69" spans="2:31" s="23" customFormat="1" ht="25.5" customHeight="1" thickBot="1" x14ac:dyDescent="0.3">
      <c r="C69" s="264" t="s">
        <v>63</v>
      </c>
      <c r="D69" s="265"/>
      <c r="E69" s="111"/>
      <c r="F69" s="111"/>
    </row>
    <row r="70" spans="2:31" s="23" customFormat="1" ht="25.5" customHeight="1" thickTop="1" x14ac:dyDescent="0.25">
      <c r="C70" s="266" t="str">
        <f>P6</f>
        <v>spark</v>
      </c>
      <c r="D70" s="267"/>
      <c r="E70" s="268"/>
      <c r="F70" s="269"/>
      <c r="H70" s="121"/>
      <c r="J70" s="387"/>
      <c r="K70" s="387"/>
      <c r="L70" s="387"/>
      <c r="M70" s="387"/>
      <c r="N70" s="387"/>
      <c r="O70" s="387"/>
      <c r="P70" s="390"/>
      <c r="Q70" s="439" t="str">
        <f>C66&amp;" "&amp;E66&amp;" ("&amp;F66&amp;" "&amp;H66&amp;" "&amp;I66&amp;") "&amp;K66&amp;" ("&amp;L66&amp;" "&amp;O66&amp;" "&amp;Q66&amp;") "&amp;S66&amp;" "&amp;T66&amp;" "&amp;W66&amp;" "&amp;Y66&amp;""</f>
        <v xml:space="preserve"> based on  ( and ) through ( and ) directed into  expressed through  </v>
      </c>
      <c r="R70" s="440"/>
      <c r="S70" s="440"/>
      <c r="T70" s="440"/>
      <c r="U70" s="440"/>
      <c r="V70" s="440"/>
      <c r="W70" s="440"/>
      <c r="X70" s="441"/>
      <c r="AB70" s="346" t="e">
        <f>VLOOKUP(AG50, Seznami!O52:P53, 2, 0)</f>
        <v>#N/A</v>
      </c>
      <c r="AC70" s="347"/>
      <c r="AD70" s="347"/>
      <c r="AE70" s="348"/>
    </row>
    <row r="71" spans="2:31" s="23" customFormat="1" ht="25.5" customHeight="1" x14ac:dyDescent="0.25">
      <c r="C71" s="111"/>
      <c r="D71" s="111"/>
      <c r="E71" s="112"/>
      <c r="F71" s="112"/>
      <c r="J71" s="387"/>
      <c r="K71" s="387"/>
      <c r="L71" s="387"/>
      <c r="M71" s="387"/>
      <c r="N71" s="387"/>
      <c r="O71" s="387"/>
      <c r="P71" s="390"/>
      <c r="Q71" s="442"/>
      <c r="R71" s="443"/>
      <c r="S71" s="443"/>
      <c r="T71" s="443"/>
      <c r="U71" s="443"/>
      <c r="V71" s="443"/>
      <c r="W71" s="443"/>
      <c r="X71" s="444"/>
      <c r="AB71" s="349"/>
      <c r="AC71" s="350"/>
      <c r="AD71" s="350"/>
      <c r="AE71" s="351"/>
    </row>
    <row r="72" spans="2:31" s="23" customFormat="1" ht="25.5" customHeight="1" thickBot="1" x14ac:dyDescent="0.3">
      <c r="C72" s="264" t="s">
        <v>704</v>
      </c>
      <c r="D72" s="265"/>
      <c r="E72" s="112"/>
      <c r="F72" s="112"/>
      <c r="H72" s="402" t="s">
        <v>760</v>
      </c>
      <c r="I72" s="402"/>
      <c r="J72" s="387"/>
      <c r="K72" s="387"/>
      <c r="L72" s="387"/>
      <c r="M72" s="387"/>
      <c r="N72" s="387"/>
      <c r="O72" s="387"/>
      <c r="P72" s="390"/>
      <c r="Q72" s="445"/>
      <c r="R72" s="446"/>
      <c r="S72" s="446"/>
      <c r="T72" s="446"/>
      <c r="U72" s="446"/>
      <c r="V72" s="446"/>
      <c r="W72" s="446"/>
      <c r="X72" s="447"/>
      <c r="AB72" s="352"/>
      <c r="AC72" s="353"/>
      <c r="AD72" s="353"/>
      <c r="AE72" s="354"/>
    </row>
    <row r="73" spans="2:31" s="23" customFormat="1" ht="25.5" customHeight="1" thickTop="1" x14ac:dyDescent="0.25">
      <c r="C73" s="266" t="str">
        <f>R6</f>
        <v>decan</v>
      </c>
      <c r="D73" s="267"/>
      <c r="E73" s="268"/>
      <c r="F73" s="269"/>
      <c r="H73" s="121"/>
      <c r="J73" s="387"/>
      <c r="K73" s="387"/>
      <c r="L73" s="388"/>
      <c r="M73" s="388"/>
      <c r="N73" s="388"/>
      <c r="O73" s="388"/>
      <c r="P73" s="390"/>
      <c r="Q73" s="411"/>
      <c r="R73" s="411"/>
      <c r="S73" s="411"/>
      <c r="T73" s="411"/>
      <c r="U73" s="411"/>
      <c r="V73" s="411"/>
      <c r="W73" s="411"/>
      <c r="X73" s="411"/>
      <c r="AB73" s="94"/>
      <c r="AC73" s="94"/>
      <c r="AD73" s="94"/>
      <c r="AE73" s="94"/>
    </row>
    <row r="74" spans="2:31" s="23" customFormat="1" ht="18" thickBot="1" x14ac:dyDescent="0.3">
      <c r="H74" s="121"/>
      <c r="J74" s="403" t="s">
        <v>755</v>
      </c>
      <c r="K74" s="404"/>
      <c r="L74" s="399" t="str">
        <f>E9</f>
        <v/>
      </c>
      <c r="M74" s="421"/>
      <c r="N74" s="421"/>
      <c r="O74" s="400"/>
      <c r="P74" s="390"/>
      <c r="Q74" s="411"/>
      <c r="R74" s="411"/>
      <c r="S74" s="411"/>
      <c r="T74" s="411"/>
      <c r="U74" s="411"/>
      <c r="V74" s="411"/>
      <c r="W74" s="411"/>
      <c r="X74" s="411"/>
      <c r="AB74" s="94"/>
      <c r="AC74" s="94"/>
      <c r="AD74" s="94"/>
      <c r="AE74" s="94"/>
    </row>
    <row r="75" spans="2:31" s="23" customFormat="1" ht="17.25" x14ac:dyDescent="0.25">
      <c r="H75" s="121"/>
      <c r="J75" s="403" t="s">
        <v>756</v>
      </c>
      <c r="K75" s="404"/>
      <c r="L75" s="399" t="str">
        <f>IFERROR(VLOOKUP(E9&amp;"-"&amp;G9&amp;"-"&amp;I5, TruePlacement_DataBase1[[#All],[Helper]:[Sign6]], 3, 0), "")</f>
        <v/>
      </c>
      <c r="M75" s="400"/>
      <c r="N75" s="436"/>
      <c r="O75" s="437"/>
      <c r="P75" s="389"/>
      <c r="Q75" s="448" t="str">
        <f>Q70&amp;", going into "&amp;N75&amp;" (with "&amp;N76&amp;" and "&amp;N77&amp;"), expressed through "&amp;N78&amp;"."</f>
        <v xml:space="preserve"> based on  ( and ) through ( and ) directed into  expressed through  , going into  (with  and ), expressed through .</v>
      </c>
      <c r="R75" s="449"/>
      <c r="S75" s="449"/>
      <c r="T75" s="449"/>
      <c r="U75" s="449"/>
      <c r="V75" s="449"/>
      <c r="W75" s="449"/>
      <c r="X75" s="450"/>
      <c r="AB75" s="94"/>
      <c r="AC75" s="94"/>
      <c r="AD75" s="94"/>
      <c r="AE75" s="94"/>
    </row>
    <row r="76" spans="2:31" s="23" customFormat="1" ht="17.25" x14ac:dyDescent="0.25">
      <c r="H76" s="121"/>
      <c r="J76" s="403" t="s">
        <v>757</v>
      </c>
      <c r="K76" s="404"/>
      <c r="L76" s="398" t="str">
        <f>IFERROR(VLOOKUP(D9&amp;"-"&amp;G9, Degree_Spark_DataBase[[Helper]:[Decan Planets]], 2, 0),"")</f>
        <v/>
      </c>
      <c r="M76" s="398"/>
      <c r="N76" s="438"/>
      <c r="O76" s="438"/>
      <c r="P76" s="389"/>
      <c r="Q76" s="451"/>
      <c r="R76" s="443"/>
      <c r="S76" s="443"/>
      <c r="T76" s="443"/>
      <c r="U76" s="443"/>
      <c r="V76" s="443"/>
      <c r="W76" s="443"/>
      <c r="X76" s="452"/>
      <c r="AB76" s="94"/>
      <c r="AC76" s="94"/>
      <c r="AD76" s="94"/>
      <c r="AE76" s="94"/>
    </row>
    <row r="77" spans="2:31" s="23" customFormat="1" ht="17.25" x14ac:dyDescent="0.25">
      <c r="H77" s="121"/>
      <c r="J77" s="403" t="s">
        <v>758</v>
      </c>
      <c r="K77" s="404"/>
      <c r="L77" s="398" t="str">
        <f>IFERROR(VLOOKUP(D9&amp;"-"&amp;G9, Degree_Spark_DataBase[[Helper]:[Decan Planets]], 3, 0),"Not Found")</f>
        <v>Not Found</v>
      </c>
      <c r="M77" s="398"/>
      <c r="N77" s="438"/>
      <c r="O77" s="438"/>
      <c r="P77" s="389"/>
      <c r="Q77" s="451"/>
      <c r="R77" s="443"/>
      <c r="S77" s="443"/>
      <c r="T77" s="443"/>
      <c r="U77" s="443"/>
      <c r="V77" s="443"/>
      <c r="W77" s="443"/>
      <c r="X77" s="452"/>
      <c r="AB77" s="326" t="e">
        <f>VLOOKUP(AM50, Seznami!O57:P58, 2, 0)</f>
        <v>#N/A</v>
      </c>
      <c r="AC77" s="327"/>
      <c r="AD77" s="327"/>
      <c r="AE77" s="328"/>
    </row>
    <row r="78" spans="2:31" s="23" customFormat="1" ht="17.25" x14ac:dyDescent="0.25">
      <c r="H78" s="121"/>
      <c r="J78" s="403" t="s">
        <v>759</v>
      </c>
      <c r="K78" s="404"/>
      <c r="L78" s="398" t="str">
        <f>IFERROR(VLOOKUP(E9&amp;"-"&amp;G9&amp;"-"&amp;I5, TruePlacement_DataBase1[[Helper]:[Sign3]], 4,FALSE), "")</f>
        <v/>
      </c>
      <c r="M78" s="398"/>
      <c r="N78" s="438"/>
      <c r="O78" s="438"/>
      <c r="P78" s="389"/>
      <c r="Q78" s="451"/>
      <c r="R78" s="443"/>
      <c r="S78" s="443"/>
      <c r="T78" s="443"/>
      <c r="U78" s="443"/>
      <c r="V78" s="443"/>
      <c r="W78" s="443"/>
      <c r="X78" s="452"/>
      <c r="AB78" s="329"/>
      <c r="AC78" s="456"/>
      <c r="AD78" s="456"/>
      <c r="AE78" s="331"/>
    </row>
    <row r="79" spans="2:31" s="23" customFormat="1" ht="15.75" thickBot="1" x14ac:dyDescent="0.3">
      <c r="H79" s="121"/>
      <c r="P79" s="389"/>
      <c r="Q79" s="453"/>
      <c r="R79" s="454"/>
      <c r="S79" s="454"/>
      <c r="T79" s="454"/>
      <c r="U79" s="454"/>
      <c r="V79" s="454"/>
      <c r="W79" s="454"/>
      <c r="X79" s="455"/>
      <c r="AB79" s="329"/>
      <c r="AC79" s="456"/>
      <c r="AD79" s="456"/>
      <c r="AE79" s="331"/>
    </row>
    <row r="80" spans="2:31" s="23" customFormat="1" x14ac:dyDescent="0.25">
      <c r="AB80" s="329"/>
      <c r="AC80" s="456"/>
      <c r="AD80" s="456"/>
      <c r="AE80" s="331"/>
    </row>
    <row r="81" spans="28:31" s="23" customFormat="1" x14ac:dyDescent="0.25">
      <c r="AB81" s="332"/>
      <c r="AC81" s="333"/>
      <c r="AD81" s="333"/>
      <c r="AE81" s="334"/>
    </row>
    <row r="82" spans="28:31" s="23" customFormat="1" x14ac:dyDescent="0.25"/>
    <row r="83" spans="28:31" s="23" customFormat="1" x14ac:dyDescent="0.25"/>
    <row r="84" spans="28:31" s="23" customFormat="1" x14ac:dyDescent="0.25"/>
    <row r="85" spans="28:31" s="23" customFormat="1" x14ac:dyDescent="0.25"/>
    <row r="86" spans="28:31" s="23" customFormat="1" x14ac:dyDescent="0.25"/>
    <row r="87" spans="28:31" s="23" customFormat="1" x14ac:dyDescent="0.25"/>
    <row r="88" spans="28:31" s="23" customFormat="1" x14ac:dyDescent="0.25"/>
    <row r="89" spans="28:31" s="23" customFormat="1" x14ac:dyDescent="0.25"/>
    <row r="90" spans="28:31" s="23" customFormat="1" x14ac:dyDescent="0.25"/>
    <row r="91" spans="28:31" s="23" customFormat="1" x14ac:dyDescent="0.25"/>
    <row r="92" spans="28:31" s="23" customFormat="1" x14ac:dyDescent="0.25"/>
    <row r="108" spans="3:16" x14ac:dyDescent="0.25">
      <c r="C108" s="430" t="str">
        <f>C66&amp;" "&amp;E66&amp;" ("&amp;F66&amp;" "&amp;H66&amp;" "&amp;I66&amp;") "&amp;K66&amp;" ("&amp;L66&amp;" "&amp;O66&amp;" "&amp;Q66&amp;") "&amp;S66&amp;" "&amp;T66&amp;" "&amp;W66&amp;" "&amp;Y66</f>
        <v xml:space="preserve"> based on  ( and ) through ( and ) directed into  expressed through  </v>
      </c>
      <c r="D108" s="431"/>
      <c r="E108" s="431"/>
      <c r="F108" s="431"/>
      <c r="G108" s="431"/>
      <c r="H108" s="431"/>
      <c r="I108" s="431"/>
      <c r="J108" s="431"/>
      <c r="K108" s="431"/>
      <c r="L108" s="431"/>
      <c r="M108" s="431"/>
      <c r="N108" s="431"/>
      <c r="O108" s="431"/>
      <c r="P108" s="432"/>
    </row>
    <row r="109" spans="3:16" x14ac:dyDescent="0.25">
      <c r="C109" s="433"/>
      <c r="D109" s="434"/>
      <c r="E109" s="434"/>
      <c r="F109" s="434"/>
      <c r="G109" s="434"/>
      <c r="H109" s="434"/>
      <c r="I109" s="434"/>
      <c r="J109" s="434"/>
      <c r="K109" s="434"/>
      <c r="L109" s="434"/>
      <c r="M109" s="434"/>
      <c r="N109" s="434"/>
      <c r="O109" s="434"/>
      <c r="P109" s="435"/>
    </row>
    <row r="115" spans="3:16" x14ac:dyDescent="0.25">
      <c r="C115" s="237"/>
      <c r="D115" s="238"/>
      <c r="E115" s="238"/>
      <c r="F115" s="238"/>
      <c r="G115" s="238"/>
      <c r="H115" s="238"/>
      <c r="I115" s="238"/>
      <c r="J115" s="238"/>
      <c r="K115" s="238"/>
      <c r="L115" s="238"/>
      <c r="M115" s="238"/>
      <c r="N115" s="238"/>
      <c r="O115" s="238"/>
      <c r="P115" s="239"/>
    </row>
    <row r="116" spans="3:16" x14ac:dyDescent="0.25">
      <c r="C116" s="240"/>
      <c r="D116" s="241"/>
      <c r="E116" s="241"/>
      <c r="F116" s="241"/>
      <c r="G116" s="241"/>
      <c r="H116" s="241"/>
      <c r="I116" s="241"/>
      <c r="J116" s="241"/>
      <c r="K116" s="241"/>
      <c r="L116" s="241"/>
      <c r="M116" s="241"/>
      <c r="N116" s="241"/>
      <c r="O116" s="241"/>
      <c r="P116" s="242"/>
    </row>
    <row r="117" spans="3:16" x14ac:dyDescent="0.25">
      <c r="C117" s="240"/>
      <c r="D117" s="241"/>
      <c r="E117" s="241"/>
      <c r="F117" s="241"/>
      <c r="G117" s="241"/>
      <c r="H117" s="241"/>
      <c r="I117" s="241"/>
      <c r="J117" s="241"/>
      <c r="K117" s="241"/>
      <c r="L117" s="241"/>
      <c r="M117" s="241"/>
      <c r="N117" s="241"/>
      <c r="O117" s="241"/>
      <c r="P117" s="242"/>
    </row>
    <row r="118" spans="3:16" x14ac:dyDescent="0.25">
      <c r="C118" s="240"/>
      <c r="D118" s="241"/>
      <c r="E118" s="241"/>
      <c r="F118" s="241"/>
      <c r="G118" s="241"/>
      <c r="H118" s="241"/>
      <c r="I118" s="241"/>
      <c r="J118" s="241"/>
      <c r="K118" s="241"/>
      <c r="L118" s="241"/>
      <c r="M118" s="241"/>
      <c r="N118" s="241"/>
      <c r="O118" s="241"/>
      <c r="P118" s="242"/>
    </row>
    <row r="119" spans="3:16" x14ac:dyDescent="0.25">
      <c r="C119" s="240"/>
      <c r="D119" s="241"/>
      <c r="E119" s="241"/>
      <c r="F119" s="241"/>
      <c r="G119" s="241"/>
      <c r="H119" s="241"/>
      <c r="I119" s="241"/>
      <c r="J119" s="241"/>
      <c r="K119" s="241"/>
      <c r="L119" s="241"/>
      <c r="M119" s="241"/>
      <c r="N119" s="241"/>
      <c r="O119" s="241"/>
      <c r="P119" s="242"/>
    </row>
    <row r="120" spans="3:16" x14ac:dyDescent="0.25">
      <c r="C120" s="240"/>
      <c r="D120" s="241"/>
      <c r="E120" s="241"/>
      <c r="F120" s="241"/>
      <c r="G120" s="241"/>
      <c r="H120" s="241"/>
      <c r="I120" s="241"/>
      <c r="J120" s="241"/>
      <c r="K120" s="241"/>
      <c r="L120" s="241"/>
      <c r="M120" s="241"/>
      <c r="N120" s="241"/>
      <c r="O120" s="241"/>
      <c r="P120" s="242"/>
    </row>
    <row r="121" spans="3:16" x14ac:dyDescent="0.25">
      <c r="C121" s="240"/>
      <c r="D121" s="241"/>
      <c r="E121" s="241"/>
      <c r="F121" s="241"/>
      <c r="G121" s="241"/>
      <c r="H121" s="241"/>
      <c r="I121" s="241"/>
      <c r="J121" s="241"/>
      <c r="K121" s="241"/>
      <c r="L121" s="241"/>
      <c r="M121" s="241"/>
      <c r="N121" s="241"/>
      <c r="O121" s="241"/>
      <c r="P121" s="242"/>
    </row>
    <row r="122" spans="3:16" x14ac:dyDescent="0.25">
      <c r="C122" s="243"/>
      <c r="D122" s="244"/>
      <c r="E122" s="244"/>
      <c r="F122" s="244"/>
      <c r="G122" s="244"/>
      <c r="H122" s="244"/>
      <c r="I122" s="244"/>
      <c r="J122" s="244"/>
      <c r="K122" s="244"/>
      <c r="L122" s="244"/>
      <c r="M122" s="244"/>
      <c r="N122" s="244"/>
      <c r="O122" s="244"/>
      <c r="P122" s="245"/>
    </row>
  </sheetData>
  <mergeCells count="134">
    <mergeCell ref="AB70:AE72"/>
    <mergeCell ref="AB77:AE81"/>
    <mergeCell ref="Q75:X79"/>
    <mergeCell ref="J76:K76"/>
    <mergeCell ref="L76:M76"/>
    <mergeCell ref="N76:O76"/>
    <mergeCell ref="J77:K77"/>
    <mergeCell ref="L77:M77"/>
    <mergeCell ref="N77:O77"/>
    <mergeCell ref="J78:K78"/>
    <mergeCell ref="L78:M78"/>
    <mergeCell ref="N78:O78"/>
    <mergeCell ref="J74:K74"/>
    <mergeCell ref="L74:O74"/>
    <mergeCell ref="J75:K75"/>
    <mergeCell ref="L75:M75"/>
    <mergeCell ref="N75:O75"/>
    <mergeCell ref="H25:I25"/>
    <mergeCell ref="Q23:X25"/>
    <mergeCell ref="Q28:X32"/>
    <mergeCell ref="L27:O27"/>
    <mergeCell ref="Q70:X72"/>
    <mergeCell ref="H72:I72"/>
    <mergeCell ref="J27:K27"/>
    <mergeCell ref="J28:K28"/>
    <mergeCell ref="L29:M29"/>
    <mergeCell ref="J31:K31"/>
    <mergeCell ref="J30:K30"/>
    <mergeCell ref="J29:K29"/>
    <mergeCell ref="L31:M31"/>
    <mergeCell ref="L30:M30"/>
    <mergeCell ref="C72:D72"/>
    <mergeCell ref="C73:D73"/>
    <mergeCell ref="E73:F73"/>
    <mergeCell ref="C115:P122"/>
    <mergeCell ref="AF22:AJ22"/>
    <mergeCell ref="Y63:Z63"/>
    <mergeCell ref="Y64:Z64"/>
    <mergeCell ref="T66:V66"/>
    <mergeCell ref="W66:X66"/>
    <mergeCell ref="C69:D69"/>
    <mergeCell ref="C70:D70"/>
    <mergeCell ref="E70:F70"/>
    <mergeCell ref="C108:P109"/>
    <mergeCell ref="Y66:Z66"/>
    <mergeCell ref="C66:D66"/>
    <mergeCell ref="F66:G66"/>
    <mergeCell ref="I66:J66"/>
    <mergeCell ref="L66:N66"/>
    <mergeCell ref="O66:P66"/>
    <mergeCell ref="Q66:R66"/>
    <mergeCell ref="C64:D64"/>
    <mergeCell ref="F64:G64"/>
    <mergeCell ref="I64:J64"/>
    <mergeCell ref="L64:N64"/>
    <mergeCell ref="Q64:R64"/>
    <mergeCell ref="T64:V64"/>
    <mergeCell ref="C63:D63"/>
    <mergeCell ref="F63:G63"/>
    <mergeCell ref="I63:J63"/>
    <mergeCell ref="L63:N63"/>
    <mergeCell ref="Q63:R63"/>
    <mergeCell ref="T63:V63"/>
    <mergeCell ref="AF50:AF51"/>
    <mergeCell ref="AG50:AG51"/>
    <mergeCell ref="AL50:AL51"/>
    <mergeCell ref="AM50:AM51"/>
    <mergeCell ref="I60:J60"/>
    <mergeCell ref="L60:N60"/>
    <mergeCell ref="Q60:R60"/>
    <mergeCell ref="T60:V60"/>
    <mergeCell ref="W60:X60"/>
    <mergeCell ref="Y60:AE60"/>
    <mergeCell ref="AE37:AR38"/>
    <mergeCell ref="C38:S48"/>
    <mergeCell ref="AE46:AE47"/>
    <mergeCell ref="AK46:AK47"/>
    <mergeCell ref="AE48:AE49"/>
    <mergeCell ref="AK48:AK49"/>
    <mergeCell ref="C23:D23"/>
    <mergeCell ref="E23:F23"/>
    <mergeCell ref="C25:D25"/>
    <mergeCell ref="AE36:AR36"/>
    <mergeCell ref="N28:O28"/>
    <mergeCell ref="N31:O31"/>
    <mergeCell ref="N30:O30"/>
    <mergeCell ref="N29:O29"/>
    <mergeCell ref="L28:M28"/>
    <mergeCell ref="AE25:AR25"/>
    <mergeCell ref="C26:D26"/>
    <mergeCell ref="E26:F26"/>
    <mergeCell ref="AE26:AR26"/>
    <mergeCell ref="Q18:R18"/>
    <mergeCell ref="C19:D19"/>
    <mergeCell ref="F19:G19"/>
    <mergeCell ref="I19:J19"/>
    <mergeCell ref="L19:N19"/>
    <mergeCell ref="Q19:R19"/>
    <mergeCell ref="U17:X19"/>
    <mergeCell ref="C18:D18"/>
    <mergeCell ref="F18:G18"/>
    <mergeCell ref="I18:J18"/>
    <mergeCell ref="L18:N18"/>
    <mergeCell ref="C22:D22"/>
    <mergeCell ref="C17:D17"/>
    <mergeCell ref="F17:G17"/>
    <mergeCell ref="I17:J17"/>
    <mergeCell ref="L17:N17"/>
    <mergeCell ref="Q17:R17"/>
    <mergeCell ref="Q15:R15"/>
    <mergeCell ref="C16:D16"/>
    <mergeCell ref="F16:G16"/>
    <mergeCell ref="I16:J16"/>
    <mergeCell ref="L16:N16"/>
    <mergeCell ref="Q16:R16"/>
    <mergeCell ref="C15:D15"/>
    <mergeCell ref="F15:G15"/>
    <mergeCell ref="I15:J15"/>
    <mergeCell ref="L15:N15"/>
    <mergeCell ref="O15:P15"/>
    <mergeCell ref="C13:D13"/>
    <mergeCell ref="F13:G13"/>
    <mergeCell ref="I13:J13"/>
    <mergeCell ref="L13:N13"/>
    <mergeCell ref="Q13:R13"/>
    <mergeCell ref="BC3:BD3"/>
    <mergeCell ref="G8:H8"/>
    <mergeCell ref="G9:H9"/>
    <mergeCell ref="U10:X12"/>
    <mergeCell ref="C12:D12"/>
    <mergeCell ref="F12:G12"/>
    <mergeCell ref="I12:J12"/>
    <mergeCell ref="L12:N12"/>
    <mergeCell ref="Q12:R12"/>
  </mergeCells>
  <dataValidations count="11">
    <dataValidation type="list" allowBlank="1" showInputMessage="1" showErrorMessage="1" sqref="C19:D19 F19:G19 I19:J19 L19:N19 Q19:R19" xr:uid="{DF1553C9-C332-4F59-9421-E60C42A64B84}">
      <formula1>INDIRECT(C13)</formula1>
    </dataValidation>
    <dataValidation type="list" allowBlank="1" showInputMessage="1" showErrorMessage="1" sqref="C16:D16 F16:G16 I16:J16 L16:N16 Q16:R16" xr:uid="{BA2F9BA6-47FA-4CB8-8BE2-9B52C1CEB30D}">
      <formula1>INDIRECT(C13)</formula1>
    </dataValidation>
    <dataValidation type="list" allowBlank="1" showInputMessage="1" showErrorMessage="1" sqref="C17:D17 F17:G17 I17:J17 L17:N17 Q17:R17" xr:uid="{5F41C6D7-EE6A-4246-B25C-DBC5F45D46C4}">
      <formula1>INDIRECT(C13)</formula1>
    </dataValidation>
    <dataValidation type="list" allowBlank="1" showInputMessage="1" showErrorMessage="1" sqref="C18:D18 F18:G18 I18:J18 L18:N18 Q18:R18" xr:uid="{EDFCCBB4-D458-4943-BD02-464E44F3C478}">
      <formula1>INDIRECT(C13)</formula1>
    </dataValidation>
    <dataValidation type="list" allowBlank="1" showInputMessage="1" showErrorMessage="1" sqref="G5 D9" xr:uid="{18B2D04D-5EC8-4B80-B604-059DDD475702}">
      <formula1>DD_degree_dd</formula1>
    </dataValidation>
    <dataValidation type="list" allowBlank="1" showInputMessage="1" showErrorMessage="1" sqref="I5 E5" xr:uid="{C05C469C-2DEC-450A-8C67-B58C0EFEBA3A}">
      <formula1>DD_sign_dd</formula1>
    </dataValidation>
    <dataValidation type="list" allowBlank="1" showInputMessage="1" showErrorMessage="1" sqref="C5" xr:uid="{C4593D05-4CDF-4B6D-920C-7CF9C1BA19C8}">
      <formula1>DD_TruePlacement1_ddown</formula1>
    </dataValidation>
    <dataValidation type="list" allowBlank="1" showInputMessage="1" showErrorMessage="1" sqref="L13:N13 E20 G20 I20 Q13:R13 I13:J13 F13:G13 I64:J64 C23:D23 C26:D26 L64:N64 E67 G67 I67 Q64:R64 F64:G64 G9:H9 K67 T64:V64 C70:D70 C73:D73 Y64" xr:uid="{5B67AF75-88C8-40A3-9691-D67AC24CF611}">
      <formula1>SIGN</formula1>
    </dataValidation>
    <dataValidation type="list" allowBlank="1" showInputMessage="1" showErrorMessage="1" sqref="L66:N66 Q66:R66 C66:D66 F66:G66 I66:J66 T66:V66 I15:J15 F15:G15 L15:N15 Q15:R15 C15:D15 Y66" xr:uid="{21EEC189-CE61-426D-BBA0-DC5B6B10AFDA}">
      <formula1>INDIRECT(C13)</formula1>
    </dataValidation>
    <dataValidation type="list" allowBlank="1" showInputMessage="1" showErrorMessage="1" sqref="C13:D13 C20 C64:D64 C67" xr:uid="{E86250C1-FA20-4C7A-9FFA-7480197D2788}">
      <formula1>Planet</formula1>
    </dataValidation>
    <dataValidation type="list" allowBlank="1" showInputMessage="1" showErrorMessage="1" sqref="E23:F23 E26:F26 E70:F70 E73:F73 N28:O31 N75:O78" xr:uid="{D61C8E3E-FFA2-432D-85B2-79130EA5E5CD}">
      <formula1>INDIRECT(C23)</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8027-DBA6-4FF4-AC1F-C11331593A6A}">
  <dimension ref="A1:E4"/>
  <sheetViews>
    <sheetView workbookViewId="0">
      <selection activeCell="E12" sqref="E12"/>
    </sheetView>
  </sheetViews>
  <sheetFormatPr defaultRowHeight="15" x14ac:dyDescent="0.25"/>
  <cols>
    <col min="1" max="3" width="40" customWidth="1"/>
    <col min="4" max="4" width="46" customWidth="1"/>
    <col min="5" max="5" width="41.85546875" customWidth="1"/>
    <col min="6" max="6" width="37.28515625" customWidth="1"/>
  </cols>
  <sheetData>
    <row r="1" spans="1:5" ht="21" customHeight="1" x14ac:dyDescent="0.25">
      <c r="A1" s="1" t="s">
        <v>133</v>
      </c>
      <c r="B1" s="1" t="s">
        <v>745</v>
      </c>
      <c r="C1" s="1" t="s">
        <v>726</v>
      </c>
      <c r="D1" s="1" t="s">
        <v>761</v>
      </c>
      <c r="E1" s="1" t="s">
        <v>762</v>
      </c>
    </row>
    <row r="2" spans="1:5" ht="90" x14ac:dyDescent="0.25">
      <c r="A2" s="221" t="s">
        <v>774</v>
      </c>
      <c r="B2" s="221" t="s">
        <v>775</v>
      </c>
      <c r="C2" s="221" t="s">
        <v>776</v>
      </c>
      <c r="D2" s="221" t="s">
        <v>777</v>
      </c>
      <c r="E2" s="221" t="s">
        <v>778</v>
      </c>
    </row>
    <row r="3" spans="1:5" ht="75" x14ac:dyDescent="0.25">
      <c r="A3" s="221" t="s">
        <v>765</v>
      </c>
      <c r="B3" s="221" t="s">
        <v>772</v>
      </c>
      <c r="C3" s="221" t="s">
        <v>773</v>
      </c>
      <c r="D3" s="221" t="s">
        <v>766</v>
      </c>
      <c r="E3" s="221" t="s">
        <v>767</v>
      </c>
    </row>
    <row r="4" spans="1:5" ht="45" x14ac:dyDescent="0.25">
      <c r="A4" s="196" t="s">
        <v>748</v>
      </c>
      <c r="B4" s="209" t="s">
        <v>749</v>
      </c>
      <c r="C4" s="209" t="s">
        <v>750</v>
      </c>
      <c r="D4" s="195" t="s">
        <v>751</v>
      </c>
      <c r="E4" s="1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64BA-9A55-448A-9094-410476C0D9CE}">
  <dimension ref="A1:E1"/>
  <sheetViews>
    <sheetView workbookViewId="0">
      <selection sqref="A1:E1"/>
    </sheetView>
  </sheetViews>
  <sheetFormatPr defaultRowHeight="15" x14ac:dyDescent="0.25"/>
  <sheetData>
    <row r="1" spans="1:5" x14ac:dyDescent="0.25">
      <c r="A1" t="s">
        <v>774</v>
      </c>
      <c r="B1" t="s">
        <v>775</v>
      </c>
      <c r="C1" t="s">
        <v>776</v>
      </c>
      <c r="D1" t="s">
        <v>777</v>
      </c>
      <c r="E1" t="s">
        <v>778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6150-D847-4060-B411-2670DD3C547B}">
  <dimension ref="A1:AL84"/>
  <sheetViews>
    <sheetView topLeftCell="A79" workbookViewId="0">
      <selection activeCell="C91" sqref="C91:C99"/>
    </sheetView>
  </sheetViews>
  <sheetFormatPr defaultRowHeight="15" x14ac:dyDescent="0.25"/>
  <cols>
    <col min="1" max="1" width="2.85546875" customWidth="1"/>
    <col min="2" max="2" width="2.5703125" customWidth="1"/>
    <col min="3" max="3" width="19.42578125" style="51" customWidth="1"/>
    <col min="4" max="4" width="22.5703125" customWidth="1"/>
    <col min="5" max="5" width="10" customWidth="1"/>
    <col min="6" max="6" width="22.5703125" customWidth="1"/>
    <col min="7" max="7" width="8" bestFit="1" customWidth="1"/>
    <col min="8" max="8" width="22.5703125" customWidth="1"/>
    <col min="9" max="9" width="12.42578125" bestFit="1" customWidth="1"/>
    <col min="10" max="10" width="22.5703125" customWidth="1"/>
    <col min="11" max="11" width="18.28515625" bestFit="1" customWidth="1"/>
    <col min="12" max="12" width="22.5703125" customWidth="1"/>
    <col min="13" max="13" width="13.42578125" style="51" customWidth="1"/>
    <col min="14" max="14" width="22.5703125" style="51" customWidth="1"/>
    <col min="15" max="15" width="19" style="51" customWidth="1"/>
    <col min="16" max="16" width="22.5703125" style="51" customWidth="1"/>
    <col min="17" max="23" width="9.140625" style="51"/>
    <col min="24" max="38" width="9.140625" style="47"/>
  </cols>
  <sheetData>
    <row r="1" spans="1:38" s="51" customFormat="1" x14ac:dyDescent="0.25"/>
    <row r="2" spans="1:38" s="51" customFormat="1" ht="15.75" thickBot="1" x14ac:dyDescent="0.3"/>
    <row r="3" spans="1:38" ht="21.75" customHeight="1" x14ac:dyDescent="0.25">
      <c r="A3" s="51"/>
      <c r="B3" s="51"/>
      <c r="D3" s="49" t="s">
        <v>133</v>
      </c>
      <c r="E3" s="54"/>
      <c r="F3" s="49" t="s">
        <v>149</v>
      </c>
      <c r="G3" s="54"/>
      <c r="H3" s="49" t="s">
        <v>151</v>
      </c>
      <c r="I3" s="54"/>
      <c r="J3" s="49" t="s">
        <v>153</v>
      </c>
      <c r="K3" s="54"/>
      <c r="L3" s="49" t="s">
        <v>60</v>
      </c>
    </row>
    <row r="4" spans="1:38" ht="21.75" customHeight="1" thickBot="1" x14ac:dyDescent="0.3">
      <c r="A4" s="51"/>
      <c r="B4" s="51"/>
      <c r="D4" s="50" t="str">
        <f>TruePlacement_calculator!C12</f>
        <v>JUPITER</v>
      </c>
      <c r="E4" s="54"/>
      <c r="F4" s="50" t="str">
        <f>TruePlacement_calculator!P12</f>
        <v>Aries</v>
      </c>
      <c r="G4" s="54"/>
      <c r="H4" s="50" t="str">
        <f>TruePlacement_calculator!R12</f>
        <v>Sagittarius</v>
      </c>
      <c r="I4" s="54"/>
      <c r="J4" s="50" t="str">
        <f>TruePlacement_calculator!J12</f>
        <v>Gemini</v>
      </c>
      <c r="K4" s="54"/>
      <c r="L4" s="50" t="str">
        <f>TruePlacement_calculator!M12</f>
        <v>Aquarius</v>
      </c>
    </row>
    <row r="5" spans="1:38" s="51" customFormat="1" ht="12.75" customHeight="1" x14ac:dyDescent="0.25">
      <c r="D5" s="52"/>
      <c r="E5" s="52"/>
      <c r="F5" s="52"/>
      <c r="G5" s="52"/>
      <c r="H5" s="52"/>
      <c r="I5" s="52"/>
      <c r="J5" s="52"/>
      <c r="K5" s="52"/>
      <c r="L5" s="52"/>
    </row>
    <row r="6" spans="1:38" s="5" customFormat="1" ht="37.5" customHeight="1" x14ac:dyDescent="0.25">
      <c r="A6" s="53"/>
      <c r="B6" s="53"/>
      <c r="C6" s="53"/>
      <c r="D6" s="59"/>
      <c r="E6" s="46" t="s">
        <v>148</v>
      </c>
      <c r="F6" s="60"/>
      <c r="G6" s="46" t="s">
        <v>150</v>
      </c>
      <c r="H6" s="60"/>
      <c r="I6" s="46" t="s">
        <v>152</v>
      </c>
      <c r="J6" s="60"/>
      <c r="K6" s="46" t="s">
        <v>154</v>
      </c>
      <c r="L6" s="61"/>
      <c r="M6" s="53"/>
      <c r="N6" s="53"/>
      <c r="O6" s="53"/>
      <c r="P6" s="53"/>
      <c r="Q6" s="53"/>
      <c r="R6" s="53"/>
      <c r="S6" s="53"/>
      <c r="T6" s="53"/>
      <c r="U6" s="53"/>
      <c r="V6" s="53"/>
      <c r="W6" s="53"/>
      <c r="X6" s="48"/>
      <c r="Y6" s="48"/>
      <c r="Z6" s="48"/>
      <c r="AA6" s="48"/>
      <c r="AB6" s="48"/>
      <c r="AC6" s="48"/>
      <c r="AD6" s="48"/>
      <c r="AE6" s="48"/>
      <c r="AF6" s="48"/>
      <c r="AG6" s="48"/>
      <c r="AH6" s="48"/>
      <c r="AI6" s="48"/>
      <c r="AJ6" s="48"/>
      <c r="AK6" s="48"/>
      <c r="AL6" s="48"/>
    </row>
    <row r="7" spans="1:38" s="51" customFormat="1" ht="15.75" thickBot="1" x14ac:dyDescent="0.3"/>
    <row r="8" spans="1:38" s="51" customFormat="1" ht="26.25" customHeight="1" thickBot="1" x14ac:dyDescent="0.3">
      <c r="B8" s="63"/>
      <c r="C8" s="64"/>
      <c r="D8" s="65"/>
      <c r="E8" s="62" t="s">
        <v>3</v>
      </c>
    </row>
    <row r="9" spans="1:38" s="51" customFormat="1" ht="14.25" customHeight="1" thickBot="1" x14ac:dyDescent="0.3">
      <c r="B9" s="63"/>
    </row>
    <row r="10" spans="1:38" s="51" customFormat="1" ht="26.25" customHeight="1" thickBot="1" x14ac:dyDescent="0.3">
      <c r="B10" s="63"/>
      <c r="C10" s="64"/>
      <c r="D10" s="65"/>
      <c r="E10" s="62" t="s">
        <v>4</v>
      </c>
    </row>
    <row r="11" spans="1:38" s="51" customFormat="1" x14ac:dyDescent="0.25"/>
    <row r="12" spans="1:38" s="51" customFormat="1" x14ac:dyDescent="0.25"/>
    <row r="13" spans="1:38" s="51" customFormat="1" x14ac:dyDescent="0.25"/>
    <row r="14" spans="1:38" s="51" customFormat="1" ht="15.75" thickBot="1" x14ac:dyDescent="0.3"/>
    <row r="15" spans="1:38" ht="21.75" customHeight="1" x14ac:dyDescent="0.25">
      <c r="A15" s="51"/>
      <c r="B15" s="51"/>
      <c r="D15" s="49" t="s">
        <v>133</v>
      </c>
      <c r="E15" s="54"/>
      <c r="F15" s="49" t="s">
        <v>149</v>
      </c>
      <c r="G15" s="54"/>
      <c r="H15" s="49" t="s">
        <v>151</v>
      </c>
      <c r="I15" s="54"/>
      <c r="J15" s="49" t="s">
        <v>149</v>
      </c>
      <c r="K15" s="54"/>
      <c r="L15" s="49" t="s">
        <v>151</v>
      </c>
      <c r="M15" s="54"/>
      <c r="N15" s="49" t="s">
        <v>153</v>
      </c>
      <c r="O15" s="54"/>
      <c r="P15" s="49" t="s">
        <v>60</v>
      </c>
    </row>
    <row r="16" spans="1:38" ht="21.75" customHeight="1" thickBot="1" x14ac:dyDescent="0.3">
      <c r="A16" s="51"/>
      <c r="B16" s="51"/>
      <c r="D16" s="50" t="str">
        <f>TruePlacement_calculator!C15</f>
        <v>VENUS</v>
      </c>
      <c r="E16" s="54"/>
      <c r="F16" s="50" t="str">
        <f>TruePlacement_calculator!P15</f>
        <v>Virgo</v>
      </c>
      <c r="G16" s="54"/>
      <c r="H16" s="50" t="str">
        <f>TruePlacement_calculator!R15</f>
        <v>Taurus</v>
      </c>
      <c r="I16" s="54"/>
      <c r="J16" s="50" t="str">
        <f>TruePlacement_calculator!U15</f>
        <v>Aquarius</v>
      </c>
      <c r="K16" s="54"/>
      <c r="L16" s="50" t="str">
        <f>TruePlacement_calculator!W15</f>
        <v>Libra</v>
      </c>
      <c r="M16" s="54"/>
      <c r="N16" s="50" t="str">
        <f>TruePlacement_calculator!J15</f>
        <v>Aries</v>
      </c>
      <c r="O16" s="54"/>
      <c r="P16" s="50" t="str">
        <f>TruePlacement_calculator!M15</f>
        <v>Sagittarius</v>
      </c>
    </row>
    <row r="17" spans="1:38" s="51" customFormat="1" x14ac:dyDescent="0.25"/>
    <row r="18" spans="1:38" s="5" customFormat="1" ht="37.5" customHeight="1" x14ac:dyDescent="0.25">
      <c r="A18" s="53"/>
      <c r="B18" s="53"/>
      <c r="C18" s="53"/>
      <c r="D18" s="59" t="s">
        <v>193</v>
      </c>
      <c r="E18" s="46" t="s">
        <v>148</v>
      </c>
      <c r="F18" s="60" t="s">
        <v>441</v>
      </c>
      <c r="G18" s="46" t="s">
        <v>150</v>
      </c>
      <c r="H18" s="60" t="s">
        <v>195</v>
      </c>
      <c r="I18" s="55" t="s">
        <v>696</v>
      </c>
      <c r="J18" s="60" t="s">
        <v>157</v>
      </c>
      <c r="K18" s="55" t="s">
        <v>150</v>
      </c>
      <c r="L18" s="60" t="s">
        <v>194</v>
      </c>
      <c r="M18" s="46" t="s">
        <v>152</v>
      </c>
      <c r="N18" s="60" t="s">
        <v>543</v>
      </c>
      <c r="O18" s="46" t="s">
        <v>154</v>
      </c>
      <c r="P18" s="61" t="s">
        <v>276</v>
      </c>
      <c r="Q18" s="53"/>
      <c r="R18" s="53"/>
      <c r="S18" s="53"/>
      <c r="T18" s="53"/>
      <c r="U18" s="53"/>
      <c r="V18" s="53"/>
      <c r="W18" s="53"/>
      <c r="X18" s="48"/>
      <c r="Y18" s="48"/>
      <c r="Z18" s="48"/>
      <c r="AA18" s="48"/>
      <c r="AB18" s="48"/>
      <c r="AC18" s="48"/>
      <c r="AD18" s="48"/>
      <c r="AE18" s="48"/>
      <c r="AF18" s="48"/>
      <c r="AG18" s="48"/>
      <c r="AH18" s="48"/>
      <c r="AI18" s="48"/>
      <c r="AJ18" s="48"/>
      <c r="AK18" s="48"/>
      <c r="AL18" s="48"/>
    </row>
    <row r="19" spans="1:38" s="51" customFormat="1" ht="15.75" thickBot="1" x14ac:dyDescent="0.3"/>
    <row r="20" spans="1:38" s="51" customFormat="1" ht="26.25" customHeight="1" thickBot="1" x14ac:dyDescent="0.3">
      <c r="B20" s="63"/>
      <c r="C20" s="64" t="s">
        <v>29</v>
      </c>
      <c r="D20" s="65"/>
      <c r="E20" s="62" t="s">
        <v>3</v>
      </c>
    </row>
    <row r="21" spans="1:38" s="51" customFormat="1" ht="14.25" customHeight="1" thickBot="1" x14ac:dyDescent="0.3">
      <c r="B21" s="63"/>
      <c r="C21" s="58"/>
      <c r="D21" s="58"/>
    </row>
    <row r="22" spans="1:38" s="51" customFormat="1" ht="26.25" customHeight="1" thickBot="1" x14ac:dyDescent="0.3">
      <c r="B22" s="63"/>
      <c r="C22" s="64" t="s">
        <v>14</v>
      </c>
      <c r="D22" s="65"/>
      <c r="E22" s="62" t="s">
        <v>4</v>
      </c>
    </row>
    <row r="23" spans="1:38" s="51" customFormat="1" x14ac:dyDescent="0.25">
      <c r="E23" s="54"/>
      <c r="F23" s="54"/>
      <c r="G23" s="54"/>
      <c r="H23" s="54"/>
      <c r="I23" s="54"/>
      <c r="J23" s="54"/>
      <c r="K23" s="54"/>
      <c r="L23" s="54"/>
    </row>
    <row r="24" spans="1:38" s="51" customFormat="1" x14ac:dyDescent="0.25">
      <c r="E24" s="54"/>
      <c r="F24" s="56"/>
      <c r="G24" s="54"/>
      <c r="H24" s="56"/>
      <c r="I24" s="54"/>
      <c r="J24" s="56"/>
      <c r="K24" s="54"/>
      <c r="L24" s="56"/>
    </row>
    <row r="25" spans="1:38" s="51" customFormat="1" x14ac:dyDescent="0.25"/>
    <row r="26" spans="1:38" s="51" customFormat="1" x14ac:dyDescent="0.25">
      <c r="E26" s="57"/>
      <c r="F26" s="58"/>
      <c r="G26" s="57"/>
      <c r="H26" s="58"/>
      <c r="I26" s="57"/>
      <c r="J26" s="58"/>
      <c r="K26" s="57"/>
      <c r="L26" s="58"/>
    </row>
    <row r="27" spans="1:38" s="51" customFormat="1" x14ac:dyDescent="0.25"/>
    <row r="28" spans="1:38" s="51" customFormat="1" x14ac:dyDescent="0.25"/>
    <row r="29" spans="1:38" s="51" customFormat="1" x14ac:dyDescent="0.25"/>
    <row r="30" spans="1:38" s="51" customFormat="1" x14ac:dyDescent="0.25"/>
    <row r="31" spans="1:38" s="51" customFormat="1" x14ac:dyDescent="0.25"/>
    <row r="32" spans="1:38" s="51" customFormat="1" x14ac:dyDescent="0.25"/>
    <row r="33" s="51" customFormat="1" x14ac:dyDescent="0.25"/>
    <row r="34" s="51" customFormat="1" x14ac:dyDescent="0.25"/>
    <row r="35" s="51" customFormat="1" x14ac:dyDescent="0.25"/>
    <row r="36" s="51" customFormat="1" x14ac:dyDescent="0.25"/>
    <row r="37" s="51" customFormat="1" x14ac:dyDescent="0.25"/>
    <row r="38" s="51" customFormat="1" x14ac:dyDescent="0.25"/>
    <row r="39" s="51" customFormat="1" x14ac:dyDescent="0.25"/>
    <row r="40" s="51" customFormat="1" x14ac:dyDescent="0.25"/>
    <row r="41" s="51" customFormat="1" x14ac:dyDescent="0.25"/>
    <row r="42" s="51" customFormat="1" x14ac:dyDescent="0.25"/>
    <row r="43" s="51" customFormat="1" x14ac:dyDescent="0.25"/>
    <row r="44" s="51" customFormat="1" x14ac:dyDescent="0.25"/>
    <row r="45" s="51" customFormat="1" x14ac:dyDescent="0.25"/>
    <row r="46" s="51" customFormat="1" x14ac:dyDescent="0.25"/>
    <row r="47" s="51" customFormat="1" x14ac:dyDescent="0.25"/>
    <row r="48" s="51" customFormat="1" x14ac:dyDescent="0.25"/>
    <row r="49" spans="3:23" s="51" customFormat="1" x14ac:dyDescent="0.25"/>
    <row r="50" spans="3:23" s="51" customFormat="1" x14ac:dyDescent="0.25"/>
    <row r="51" spans="3:23" s="51" customFormat="1" x14ac:dyDescent="0.25"/>
    <row r="52" spans="3:23" s="47" customFormat="1" x14ac:dyDescent="0.25">
      <c r="C52" s="51"/>
      <c r="M52" s="51"/>
      <c r="N52" s="51"/>
      <c r="O52" s="51"/>
      <c r="P52" s="51"/>
      <c r="Q52" s="51"/>
      <c r="R52" s="51"/>
      <c r="S52" s="51"/>
      <c r="T52" s="51"/>
      <c r="U52" s="51"/>
      <c r="V52" s="51"/>
      <c r="W52" s="51"/>
    </row>
    <row r="53" spans="3:23" s="47" customFormat="1" x14ac:dyDescent="0.25">
      <c r="C53" s="51"/>
      <c r="M53" s="51"/>
      <c r="N53" s="51"/>
      <c r="O53" s="51"/>
      <c r="P53" s="51"/>
      <c r="Q53" s="51"/>
      <c r="R53" s="51"/>
      <c r="S53" s="51"/>
      <c r="T53" s="51"/>
      <c r="U53" s="51"/>
      <c r="V53" s="51"/>
      <c r="W53" s="51"/>
    </row>
    <row r="54" spans="3:23" s="47" customFormat="1" x14ac:dyDescent="0.25">
      <c r="C54" s="51"/>
      <c r="M54" s="51"/>
      <c r="N54" s="51"/>
      <c r="O54" s="51"/>
      <c r="P54" s="51"/>
      <c r="Q54" s="51"/>
      <c r="R54" s="51"/>
      <c r="S54" s="51"/>
      <c r="T54" s="51"/>
      <c r="U54" s="51"/>
      <c r="V54" s="51"/>
      <c r="W54" s="51"/>
    </row>
    <row r="55" spans="3:23" s="47" customFormat="1" x14ac:dyDescent="0.25">
      <c r="C55" s="51"/>
      <c r="M55" s="51"/>
      <c r="N55" s="51"/>
      <c r="O55" s="51"/>
      <c r="P55" s="51"/>
      <c r="Q55" s="51"/>
      <c r="R55" s="51"/>
      <c r="S55" s="51"/>
      <c r="T55" s="51"/>
      <c r="U55" s="51"/>
      <c r="V55" s="51"/>
      <c r="W55" s="51"/>
    </row>
    <row r="56" spans="3:23" s="47" customFormat="1" x14ac:dyDescent="0.25">
      <c r="C56" s="51"/>
      <c r="M56" s="51"/>
      <c r="N56" s="51"/>
      <c r="O56" s="51"/>
      <c r="P56" s="51"/>
      <c r="Q56" s="51"/>
      <c r="R56" s="51"/>
      <c r="S56" s="51"/>
      <c r="T56" s="51"/>
      <c r="U56" s="51"/>
      <c r="V56" s="51"/>
      <c r="W56" s="51"/>
    </row>
    <row r="57" spans="3:23" s="47" customFormat="1" x14ac:dyDescent="0.25">
      <c r="C57" s="51"/>
      <c r="M57" s="51"/>
      <c r="N57" s="51"/>
      <c r="O57" s="51"/>
      <c r="P57" s="51"/>
      <c r="Q57" s="51"/>
      <c r="R57" s="51"/>
      <c r="S57" s="51"/>
      <c r="T57" s="51"/>
      <c r="U57" s="51"/>
      <c r="V57" s="51"/>
      <c r="W57" s="51"/>
    </row>
    <row r="58" spans="3:23" s="47" customFormat="1" x14ac:dyDescent="0.25">
      <c r="C58" s="51"/>
      <c r="M58" s="51"/>
      <c r="N58" s="51"/>
      <c r="O58" s="51"/>
      <c r="P58" s="51"/>
      <c r="Q58" s="51"/>
      <c r="R58" s="51"/>
      <c r="S58" s="51"/>
      <c r="T58" s="51"/>
      <c r="U58" s="51"/>
      <c r="V58" s="51"/>
      <c r="W58" s="51"/>
    </row>
    <row r="59" spans="3:23" s="47" customFormat="1" x14ac:dyDescent="0.25">
      <c r="C59" s="51"/>
      <c r="M59" s="51"/>
      <c r="N59" s="51"/>
      <c r="O59" s="51"/>
      <c r="P59" s="51"/>
      <c r="Q59" s="51"/>
      <c r="R59" s="51"/>
      <c r="S59" s="51"/>
      <c r="T59" s="51"/>
      <c r="U59" s="51"/>
      <c r="V59" s="51"/>
      <c r="W59" s="51"/>
    </row>
    <row r="60" spans="3:23" s="47" customFormat="1" x14ac:dyDescent="0.25">
      <c r="C60" s="51"/>
      <c r="M60" s="51"/>
      <c r="N60" s="51"/>
      <c r="O60" s="51"/>
      <c r="P60" s="51"/>
      <c r="Q60" s="51"/>
      <c r="R60" s="51"/>
      <c r="S60" s="51"/>
      <c r="T60" s="51"/>
      <c r="U60" s="51"/>
      <c r="V60" s="51"/>
      <c r="W60" s="51"/>
    </row>
    <row r="61" spans="3:23" s="47" customFormat="1" x14ac:dyDescent="0.25">
      <c r="C61" s="51"/>
      <c r="M61" s="51"/>
      <c r="N61" s="51"/>
      <c r="O61" s="51"/>
      <c r="P61" s="51"/>
      <c r="Q61" s="51"/>
      <c r="R61" s="51"/>
      <c r="S61" s="51"/>
      <c r="T61" s="51"/>
      <c r="U61" s="51"/>
      <c r="V61" s="51"/>
      <c r="W61" s="51"/>
    </row>
    <row r="62" spans="3:23" s="47" customFormat="1" x14ac:dyDescent="0.25">
      <c r="C62" s="51"/>
      <c r="M62" s="51"/>
      <c r="N62" s="51"/>
      <c r="O62" s="51"/>
      <c r="P62" s="51"/>
      <c r="Q62" s="51"/>
      <c r="R62" s="51"/>
      <c r="S62" s="51"/>
      <c r="T62" s="51"/>
      <c r="U62" s="51"/>
      <c r="V62" s="51"/>
      <c r="W62" s="51"/>
    </row>
    <row r="63" spans="3:23" s="47" customFormat="1" x14ac:dyDescent="0.25">
      <c r="C63" s="51"/>
      <c r="M63" s="51"/>
      <c r="N63" s="51"/>
      <c r="O63" s="51"/>
      <c r="P63" s="51"/>
      <c r="Q63" s="51"/>
      <c r="R63" s="51"/>
      <c r="S63" s="51"/>
      <c r="T63" s="51"/>
      <c r="U63" s="51"/>
      <c r="V63" s="51"/>
      <c r="W63" s="51"/>
    </row>
    <row r="64" spans="3:23" s="47" customFormat="1" x14ac:dyDescent="0.25">
      <c r="C64" s="51"/>
      <c r="M64" s="51"/>
      <c r="N64" s="51"/>
      <c r="O64" s="51"/>
      <c r="P64" s="51"/>
      <c r="Q64" s="51"/>
      <c r="R64" s="51"/>
      <c r="S64" s="51"/>
      <c r="T64" s="51"/>
      <c r="U64" s="51"/>
      <c r="V64" s="51"/>
      <c r="W64" s="51"/>
    </row>
    <row r="65" spans="3:23" s="47" customFormat="1" x14ac:dyDescent="0.25">
      <c r="C65" s="51"/>
      <c r="M65" s="51"/>
      <c r="N65" s="51"/>
      <c r="O65" s="51"/>
      <c r="P65" s="51"/>
      <c r="Q65" s="51"/>
      <c r="R65" s="51"/>
      <c r="S65" s="51"/>
      <c r="T65" s="51"/>
      <c r="U65" s="51"/>
      <c r="V65" s="51"/>
      <c r="W65" s="51"/>
    </row>
    <row r="66" spans="3:23" s="47" customFormat="1" x14ac:dyDescent="0.25">
      <c r="C66" s="51"/>
      <c r="M66" s="51"/>
      <c r="N66" s="51"/>
      <c r="O66" s="51"/>
      <c r="P66" s="51"/>
      <c r="Q66" s="51"/>
      <c r="R66" s="51"/>
      <c r="S66" s="51"/>
      <c r="T66" s="51"/>
      <c r="U66" s="51"/>
      <c r="V66" s="51"/>
      <c r="W66" s="51"/>
    </row>
    <row r="67" spans="3:23" s="47" customFormat="1" x14ac:dyDescent="0.25">
      <c r="C67" s="51"/>
      <c r="M67" s="51"/>
      <c r="N67" s="51"/>
      <c r="O67" s="51"/>
      <c r="P67" s="51"/>
      <c r="Q67" s="51"/>
      <c r="R67" s="51"/>
      <c r="S67" s="51"/>
      <c r="T67" s="51"/>
      <c r="U67" s="51"/>
      <c r="V67" s="51"/>
      <c r="W67" s="51"/>
    </row>
    <row r="68" spans="3:23" s="47" customFormat="1" x14ac:dyDescent="0.25">
      <c r="C68" s="51"/>
      <c r="M68" s="51"/>
      <c r="N68" s="51"/>
      <c r="O68" s="51"/>
      <c r="P68" s="51"/>
      <c r="Q68" s="51"/>
      <c r="R68" s="51"/>
      <c r="S68" s="51"/>
      <c r="T68" s="51"/>
      <c r="U68" s="51"/>
      <c r="V68" s="51"/>
      <c r="W68" s="51"/>
    </row>
    <row r="69" spans="3:23" s="47" customFormat="1" x14ac:dyDescent="0.25">
      <c r="C69" s="51"/>
      <c r="M69" s="51"/>
      <c r="N69" s="51"/>
      <c r="O69" s="51"/>
      <c r="P69" s="51"/>
      <c r="Q69" s="51"/>
      <c r="R69" s="51"/>
      <c r="S69" s="51"/>
      <c r="T69" s="51"/>
      <c r="U69" s="51"/>
      <c r="V69" s="51"/>
      <c r="W69" s="51"/>
    </row>
    <row r="70" spans="3:23" s="47" customFormat="1" x14ac:dyDescent="0.25">
      <c r="C70" s="51"/>
      <c r="M70" s="51"/>
      <c r="N70" s="51"/>
      <c r="O70" s="51"/>
      <c r="P70" s="51"/>
      <c r="Q70" s="51"/>
      <c r="R70" s="51"/>
      <c r="S70" s="51"/>
      <c r="T70" s="51"/>
      <c r="U70" s="51"/>
      <c r="V70" s="51"/>
      <c r="W70" s="51"/>
    </row>
    <row r="71" spans="3:23" s="47" customFormat="1" x14ac:dyDescent="0.25">
      <c r="C71" s="51"/>
      <c r="M71" s="51"/>
      <c r="N71" s="51"/>
      <c r="O71" s="51"/>
      <c r="P71" s="51"/>
      <c r="Q71" s="51"/>
      <c r="R71" s="51"/>
      <c r="S71" s="51"/>
      <c r="T71" s="51"/>
      <c r="U71" s="51"/>
      <c r="V71" s="51"/>
      <c r="W71" s="51"/>
    </row>
    <row r="72" spans="3:23" s="47" customFormat="1" x14ac:dyDescent="0.25">
      <c r="C72" s="51"/>
      <c r="M72" s="51"/>
      <c r="N72" s="51"/>
      <c r="O72" s="51"/>
      <c r="P72" s="51"/>
      <c r="Q72" s="51"/>
      <c r="R72" s="51"/>
      <c r="S72" s="51"/>
      <c r="T72" s="51"/>
      <c r="U72" s="51"/>
      <c r="V72" s="51"/>
      <c r="W72" s="51"/>
    </row>
    <row r="73" spans="3:23" s="47" customFormat="1" x14ac:dyDescent="0.25">
      <c r="C73" s="51"/>
      <c r="M73" s="51"/>
      <c r="N73" s="51"/>
      <c r="O73" s="51"/>
      <c r="P73" s="51"/>
      <c r="Q73" s="51"/>
      <c r="R73" s="51"/>
      <c r="S73" s="51"/>
      <c r="T73" s="51"/>
      <c r="U73" s="51"/>
      <c r="V73" s="51"/>
      <c r="W73" s="51"/>
    </row>
    <row r="74" spans="3:23" s="47" customFormat="1" x14ac:dyDescent="0.25">
      <c r="C74" s="51"/>
      <c r="M74" s="51"/>
      <c r="N74" s="51"/>
      <c r="O74" s="51"/>
      <c r="P74" s="51"/>
      <c r="Q74" s="51"/>
      <c r="R74" s="51"/>
      <c r="S74" s="51"/>
      <c r="T74" s="51"/>
      <c r="U74" s="51"/>
      <c r="V74" s="51"/>
      <c r="W74" s="51"/>
    </row>
    <row r="75" spans="3:23" s="47" customFormat="1" x14ac:dyDescent="0.25">
      <c r="C75" s="51"/>
      <c r="M75" s="51"/>
      <c r="N75" s="51"/>
      <c r="O75" s="51"/>
      <c r="P75" s="51"/>
      <c r="Q75" s="51"/>
      <c r="R75" s="51"/>
      <c r="S75" s="51"/>
      <c r="T75" s="51"/>
      <c r="U75" s="51"/>
      <c r="V75" s="51"/>
      <c r="W75" s="51"/>
    </row>
    <row r="76" spans="3:23" s="47" customFormat="1" x14ac:dyDescent="0.25">
      <c r="C76" s="51"/>
      <c r="M76" s="51"/>
      <c r="N76" s="51"/>
      <c r="O76" s="51"/>
      <c r="P76" s="51"/>
      <c r="Q76" s="51"/>
      <c r="R76" s="51"/>
      <c r="S76" s="51"/>
      <c r="T76" s="51"/>
      <c r="U76" s="51"/>
      <c r="V76" s="51"/>
      <c r="W76" s="51"/>
    </row>
    <row r="77" spans="3:23" s="47" customFormat="1" x14ac:dyDescent="0.25">
      <c r="C77" s="51"/>
      <c r="M77" s="51"/>
      <c r="N77" s="51"/>
      <c r="O77" s="51"/>
      <c r="P77" s="51"/>
      <c r="Q77" s="51"/>
      <c r="R77" s="51"/>
      <c r="S77" s="51"/>
      <c r="T77" s="51"/>
      <c r="U77" s="51"/>
      <c r="V77" s="51"/>
      <c r="W77" s="51"/>
    </row>
    <row r="78" spans="3:23" s="47" customFormat="1" x14ac:dyDescent="0.25">
      <c r="C78" s="51"/>
      <c r="M78" s="51"/>
      <c r="N78" s="51"/>
      <c r="O78" s="51"/>
      <c r="P78" s="51"/>
      <c r="Q78" s="51"/>
      <c r="R78" s="51"/>
      <c r="S78" s="51"/>
      <c r="T78" s="51"/>
      <c r="U78" s="51"/>
      <c r="V78" s="51"/>
      <c r="W78" s="51"/>
    </row>
    <row r="79" spans="3:23" s="47" customFormat="1" x14ac:dyDescent="0.25">
      <c r="C79" s="51"/>
      <c r="M79" s="51"/>
      <c r="N79" s="51"/>
      <c r="O79" s="51"/>
      <c r="P79" s="51"/>
      <c r="Q79" s="51"/>
      <c r="R79" s="51"/>
      <c r="S79" s="51"/>
      <c r="T79" s="51"/>
      <c r="U79" s="51"/>
      <c r="V79" s="51"/>
      <c r="W79" s="51"/>
    </row>
    <row r="80" spans="3:23" s="47" customFormat="1" x14ac:dyDescent="0.25">
      <c r="C80" s="51"/>
      <c r="M80" s="51"/>
      <c r="N80" s="51"/>
      <c r="O80" s="51"/>
      <c r="P80" s="51"/>
      <c r="Q80" s="51"/>
      <c r="R80" s="51"/>
      <c r="S80" s="51"/>
      <c r="T80" s="51"/>
      <c r="U80" s="51"/>
      <c r="V80" s="51"/>
      <c r="W80" s="51"/>
    </row>
    <row r="81" spans="3:23" s="47" customFormat="1" x14ac:dyDescent="0.25">
      <c r="C81" s="51"/>
      <c r="M81" s="51"/>
      <c r="N81" s="51"/>
      <c r="O81" s="51"/>
      <c r="P81" s="51"/>
      <c r="Q81" s="51"/>
      <c r="R81" s="51"/>
      <c r="S81" s="51"/>
      <c r="T81" s="51"/>
      <c r="U81" s="51"/>
      <c r="V81" s="51"/>
      <c r="W81" s="51"/>
    </row>
    <row r="82" spans="3:23" s="47" customFormat="1" x14ac:dyDescent="0.25">
      <c r="C82" s="51"/>
      <c r="M82" s="51"/>
      <c r="N82" s="51"/>
      <c r="O82" s="51"/>
      <c r="P82" s="51"/>
      <c r="Q82" s="51"/>
      <c r="R82" s="51"/>
      <c r="S82" s="51"/>
      <c r="T82" s="51"/>
      <c r="U82" s="51"/>
      <c r="V82" s="51"/>
      <c r="W82" s="51"/>
    </row>
    <row r="83" spans="3:23" s="47" customFormat="1" x14ac:dyDescent="0.25">
      <c r="C83" s="51"/>
      <c r="M83" s="51"/>
      <c r="N83" s="51"/>
      <c r="O83" s="51"/>
      <c r="P83" s="51"/>
      <c r="Q83" s="51"/>
      <c r="R83" s="51"/>
      <c r="S83" s="51"/>
      <c r="T83" s="51"/>
      <c r="U83" s="51"/>
      <c r="V83" s="51"/>
      <c r="W83" s="51"/>
    </row>
    <row r="84" spans="3:23" s="47" customFormat="1" x14ac:dyDescent="0.25">
      <c r="C84" s="51"/>
      <c r="M84" s="51"/>
      <c r="N84" s="51"/>
      <c r="O84" s="51"/>
      <c r="P84" s="51"/>
      <c r="Q84" s="51"/>
      <c r="R84" s="51"/>
      <c r="S84" s="51"/>
      <c r="T84" s="51"/>
      <c r="U84" s="51"/>
      <c r="V84" s="51"/>
      <c r="W84" s="51"/>
    </row>
  </sheetData>
  <sheetProtection algorithmName="SHA-512" hashValue="wwbPD6aelHYtWQ4G/CiOj8ujdiDW3Ghmv7IqWN3WmUQaYx0bNsYKtVgkSyecqocDHXN8SH5IdOhsiji+X3pySg==" saltValue="CusnCQvepXBX/2tFy+u3FA==" spinCount="100000" sheet="1" objects="1" scenarios="1"/>
  <dataValidations count="4">
    <dataValidation type="list" allowBlank="1" showInputMessage="1" showErrorMessage="1" sqref="D4:D5 D16" xr:uid="{51CDC2D3-AEE6-42E6-8281-30A85A923B51}">
      <formula1>Planet</formula1>
    </dataValidation>
    <dataValidation type="list" allowBlank="1" showInputMessage="1" showErrorMessage="1" sqref="D6 L6 J6 H6 F6 N18 H26 F26 H18 F18 L26 J26 L18 J18 P18 D18" xr:uid="{8FE91FE0-1166-44D5-9F62-36F3FA7432B9}">
      <formula1>INDIRECT(D4)</formula1>
    </dataValidation>
    <dataValidation type="list" allowBlank="1" showInputMessage="1" showErrorMessage="1" sqref="F4:F5 H4:H5 J4:J5 L4:L5 F16 H16 P16 N16 L16 J16 C8 C10 C20 C22" xr:uid="{4EC6A34C-9296-4297-84B8-AE1F18B66E93}">
      <formula1>SIGN</formula1>
    </dataValidation>
    <dataValidation type="list" allowBlank="1" showInputMessage="1" showErrorMessage="1" sqref="D8 D10 D20 D22" xr:uid="{1313927F-AA5C-4EEB-AF7A-4127CAFB2FCF}">
      <formula1>INDIRECT(C8)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1244-30E2-4E79-BB02-2B18509008DF}">
  <dimension ref="B3:AZ51"/>
  <sheetViews>
    <sheetView topLeftCell="A22" workbookViewId="0">
      <selection activeCell="E47" sqref="E47:E51"/>
    </sheetView>
  </sheetViews>
  <sheetFormatPr defaultRowHeight="15" x14ac:dyDescent="0.25"/>
  <cols>
    <col min="5" max="5" width="22.5703125" customWidth="1"/>
    <col min="7" max="7" width="22.5703125" customWidth="1"/>
    <col min="8" max="8" width="8" bestFit="1" customWidth="1"/>
    <col min="9" max="9" width="22.5703125" customWidth="1"/>
    <col min="10" max="10" width="12.42578125" bestFit="1" customWidth="1"/>
    <col min="11" max="11" width="22.5703125" customWidth="1"/>
    <col min="12" max="12" width="18.28515625" bestFit="1" customWidth="1"/>
    <col min="13" max="13" width="22.5703125" customWidth="1"/>
  </cols>
  <sheetData>
    <row r="3" spans="2:52" ht="21.75" customHeight="1" x14ac:dyDescent="0.25">
      <c r="E3" s="39" t="s">
        <v>133</v>
      </c>
      <c r="F3" s="39"/>
      <c r="G3" s="39" t="s">
        <v>149</v>
      </c>
      <c r="H3" s="39"/>
      <c r="I3" s="39" t="s">
        <v>151</v>
      </c>
      <c r="J3" s="39"/>
      <c r="K3" s="39" t="s">
        <v>153</v>
      </c>
      <c r="L3" s="39"/>
      <c r="M3" s="39" t="s">
        <v>60</v>
      </c>
    </row>
    <row r="4" spans="2:52" ht="21.75" customHeight="1" x14ac:dyDescent="0.25">
      <c r="E4" s="39" t="s">
        <v>17</v>
      </c>
      <c r="F4" s="39"/>
      <c r="G4" s="39" t="s">
        <v>7</v>
      </c>
      <c r="H4" s="39"/>
      <c r="I4" s="39" t="s">
        <v>23</v>
      </c>
      <c r="J4" s="39"/>
      <c r="K4" s="39"/>
      <c r="L4" s="39"/>
      <c r="M4" s="39"/>
    </row>
    <row r="5" spans="2:52" ht="17.25" customHeight="1" x14ac:dyDescent="0.25">
      <c r="E5" t="s">
        <v>314</v>
      </c>
      <c r="F5" s="40" t="s">
        <v>148</v>
      </c>
      <c r="H5" s="40" t="s">
        <v>150</v>
      </c>
      <c r="J5" s="40" t="s">
        <v>152</v>
      </c>
      <c r="L5" s="40" t="s">
        <v>154</v>
      </c>
    </row>
    <row r="8" spans="2:52" x14ac:dyDescent="0.25">
      <c r="B8" s="208" t="s">
        <v>742</v>
      </c>
    </row>
    <row r="9" spans="2:52" x14ac:dyDescent="0.25">
      <c r="B9" s="208" t="s">
        <v>717</v>
      </c>
    </row>
    <row r="10" spans="2:52" x14ac:dyDescent="0.25">
      <c r="B10" s="208" t="s">
        <v>718</v>
      </c>
      <c r="N10" s="377" t="s">
        <v>727</v>
      </c>
      <c r="O10" s="378"/>
      <c r="P10" s="378"/>
      <c r="Q10" s="378"/>
      <c r="R10" s="378"/>
      <c r="S10" s="378"/>
      <c r="T10" s="378"/>
      <c r="U10" s="379"/>
      <c r="W10" s="368" t="s">
        <v>728</v>
      </c>
      <c r="X10" s="369"/>
      <c r="Y10" s="369"/>
      <c r="Z10" s="369"/>
      <c r="AA10" s="369"/>
      <c r="AB10" s="369"/>
      <c r="AC10" s="369"/>
      <c r="AD10" s="370"/>
    </row>
    <row r="11" spans="2:52" x14ac:dyDescent="0.25">
      <c r="B11" s="208" t="s">
        <v>743</v>
      </c>
      <c r="N11" s="380"/>
      <c r="O11" s="367"/>
      <c r="P11" s="367"/>
      <c r="Q11" s="367"/>
      <c r="R11" s="367"/>
      <c r="S11" s="367"/>
      <c r="T11" s="367"/>
      <c r="U11" s="381"/>
      <c r="V11" s="194"/>
      <c r="W11" s="371"/>
      <c r="X11" s="372"/>
      <c r="Y11" s="372"/>
      <c r="Z11" s="372"/>
      <c r="AA11" s="372"/>
      <c r="AB11" s="372"/>
      <c r="AC11" s="372"/>
      <c r="AD11" s="373"/>
    </row>
    <row r="12" spans="2:52" x14ac:dyDescent="0.25">
      <c r="B12" s="208" t="s">
        <v>744</v>
      </c>
      <c r="N12" s="380"/>
      <c r="O12" s="367"/>
      <c r="P12" s="367"/>
      <c r="Q12" s="367"/>
      <c r="R12" s="367"/>
      <c r="S12" s="367"/>
      <c r="T12" s="367"/>
      <c r="U12" s="381"/>
      <c r="W12" s="371"/>
      <c r="X12" s="372"/>
      <c r="Y12" s="372"/>
      <c r="Z12" s="372"/>
      <c r="AA12" s="372"/>
      <c r="AB12" s="372"/>
      <c r="AC12" s="372"/>
      <c r="AD12" s="373"/>
    </row>
    <row r="13" spans="2:52" ht="17.25" customHeight="1" x14ac:dyDescent="0.25">
      <c r="B13" s="208" t="s">
        <v>743</v>
      </c>
      <c r="N13" s="382"/>
      <c r="O13" s="383"/>
      <c r="P13" s="383"/>
      <c r="Q13" s="383"/>
      <c r="R13" s="383"/>
      <c r="S13" s="383"/>
      <c r="T13" s="383"/>
      <c r="U13" s="384"/>
      <c r="W13" s="374"/>
      <c r="X13" s="375"/>
      <c r="Y13" s="375"/>
      <c r="Z13" s="375"/>
      <c r="AA13" s="375"/>
      <c r="AB13" s="375"/>
      <c r="AC13" s="375"/>
      <c r="AD13" s="376"/>
    </row>
    <row r="14" spans="2:52" ht="17.25" customHeight="1" x14ac:dyDescent="0.25">
      <c r="B14" s="208" t="s">
        <v>744</v>
      </c>
      <c r="N14" s="367" t="s">
        <v>729</v>
      </c>
      <c r="O14" s="367"/>
      <c r="P14" s="367"/>
      <c r="Q14" s="367"/>
      <c r="R14" s="367"/>
      <c r="S14" s="367"/>
      <c r="T14" s="367"/>
      <c r="U14" s="367"/>
      <c r="V14" s="197"/>
      <c r="W14" s="368" t="s">
        <v>732</v>
      </c>
      <c r="X14" s="369"/>
      <c r="Y14" s="369"/>
      <c r="Z14" s="369"/>
      <c r="AA14" s="369"/>
      <c r="AB14" s="369"/>
      <c r="AC14" s="369"/>
      <c r="AD14" s="370"/>
      <c r="AF14" s="358" t="s">
        <v>733</v>
      </c>
      <c r="AG14" s="359"/>
      <c r="AH14" s="359"/>
      <c r="AI14" s="359"/>
      <c r="AJ14" s="359"/>
      <c r="AK14" s="359"/>
      <c r="AL14" s="359"/>
      <c r="AM14" s="359"/>
      <c r="AN14" s="359"/>
      <c r="AO14" s="359"/>
      <c r="AP14" s="359"/>
      <c r="AQ14" s="360"/>
      <c r="AS14" s="362" t="s">
        <v>734</v>
      </c>
      <c r="AT14" s="362"/>
      <c r="AU14" s="362"/>
      <c r="AV14" s="362"/>
      <c r="AW14" s="362"/>
      <c r="AX14" s="362"/>
      <c r="AY14" s="362"/>
      <c r="AZ14" s="362"/>
    </row>
    <row r="15" spans="2:52" x14ac:dyDescent="0.25">
      <c r="N15" s="367"/>
      <c r="O15" s="367"/>
      <c r="P15" s="367"/>
      <c r="Q15" s="367"/>
      <c r="R15" s="367"/>
      <c r="S15" s="367"/>
      <c r="T15" s="367"/>
      <c r="U15" s="367"/>
      <c r="V15" s="197"/>
      <c r="W15" s="371"/>
      <c r="X15" s="372"/>
      <c r="Y15" s="372"/>
      <c r="Z15" s="372"/>
      <c r="AA15" s="372"/>
      <c r="AB15" s="372"/>
      <c r="AC15" s="372"/>
      <c r="AD15" s="373"/>
      <c r="AF15" s="361"/>
      <c r="AG15" s="362"/>
      <c r="AH15" s="362"/>
      <c r="AI15" s="362"/>
      <c r="AJ15" s="362"/>
      <c r="AK15" s="362"/>
      <c r="AL15" s="362"/>
      <c r="AM15" s="362"/>
      <c r="AN15" s="362"/>
      <c r="AO15" s="362"/>
      <c r="AP15" s="362"/>
      <c r="AQ15" s="363"/>
      <c r="AS15" s="362"/>
      <c r="AT15" s="362"/>
      <c r="AU15" s="362"/>
      <c r="AV15" s="362"/>
      <c r="AW15" s="362"/>
      <c r="AX15" s="362"/>
      <c r="AY15" s="362"/>
      <c r="AZ15" s="362"/>
    </row>
    <row r="16" spans="2:52" x14ac:dyDescent="0.25">
      <c r="N16" s="367"/>
      <c r="O16" s="367"/>
      <c r="P16" s="367"/>
      <c r="Q16" s="367"/>
      <c r="R16" s="367"/>
      <c r="S16" s="367"/>
      <c r="T16" s="367"/>
      <c r="U16" s="367"/>
      <c r="V16" s="197"/>
      <c r="W16" s="371"/>
      <c r="X16" s="372"/>
      <c r="Y16" s="372"/>
      <c r="Z16" s="372"/>
      <c r="AA16" s="372"/>
      <c r="AB16" s="372"/>
      <c r="AC16" s="372"/>
      <c r="AD16" s="373"/>
      <c r="AF16" s="361"/>
      <c r="AG16" s="362"/>
      <c r="AH16" s="362"/>
      <c r="AI16" s="362"/>
      <c r="AJ16" s="362"/>
      <c r="AK16" s="362"/>
      <c r="AL16" s="362"/>
      <c r="AM16" s="362"/>
      <c r="AN16" s="362"/>
      <c r="AO16" s="362"/>
      <c r="AP16" s="362"/>
      <c r="AQ16" s="363"/>
      <c r="AS16" s="362"/>
      <c r="AT16" s="362"/>
      <c r="AU16" s="362"/>
      <c r="AV16" s="362"/>
      <c r="AW16" s="362"/>
      <c r="AX16" s="362"/>
      <c r="AY16" s="362"/>
      <c r="AZ16" s="362"/>
    </row>
    <row r="17" spans="14:52" x14ac:dyDescent="0.25">
      <c r="N17" s="367"/>
      <c r="O17" s="367"/>
      <c r="P17" s="367"/>
      <c r="Q17" s="367"/>
      <c r="R17" s="367"/>
      <c r="S17" s="367"/>
      <c r="T17" s="367"/>
      <c r="U17" s="367"/>
      <c r="V17" s="197"/>
      <c r="W17" s="374"/>
      <c r="X17" s="375"/>
      <c r="Y17" s="375"/>
      <c r="Z17" s="375"/>
      <c r="AA17" s="375"/>
      <c r="AB17" s="375"/>
      <c r="AC17" s="375"/>
      <c r="AD17" s="376"/>
      <c r="AF17" s="364"/>
      <c r="AG17" s="365"/>
      <c r="AH17" s="365"/>
      <c r="AI17" s="365"/>
      <c r="AJ17" s="365"/>
      <c r="AK17" s="365"/>
      <c r="AL17" s="365"/>
      <c r="AM17" s="365"/>
      <c r="AN17" s="365"/>
      <c r="AO17" s="365"/>
      <c r="AP17" s="365"/>
      <c r="AQ17" s="366"/>
      <c r="AS17" s="362"/>
      <c r="AT17" s="362"/>
      <c r="AU17" s="362"/>
      <c r="AV17" s="362"/>
      <c r="AW17" s="362"/>
      <c r="AX17" s="362"/>
      <c r="AY17" s="362"/>
      <c r="AZ17" s="362"/>
    </row>
    <row r="18" spans="14:52" x14ac:dyDescent="0.25">
      <c r="N18" s="367" t="s">
        <v>730</v>
      </c>
      <c r="O18" s="367"/>
      <c r="P18" s="367"/>
      <c r="Q18" s="367"/>
      <c r="R18" s="367"/>
      <c r="S18" s="367"/>
      <c r="T18" s="367"/>
      <c r="U18" s="367"/>
      <c r="V18" s="197"/>
      <c r="W18" s="368" t="s">
        <v>731</v>
      </c>
      <c r="X18" s="369"/>
      <c r="Y18" s="369"/>
      <c r="Z18" s="369"/>
      <c r="AA18" s="369"/>
      <c r="AB18" s="369"/>
      <c r="AC18" s="369"/>
      <c r="AD18" s="370"/>
    </row>
    <row r="19" spans="14:52" x14ac:dyDescent="0.25">
      <c r="N19" s="367"/>
      <c r="O19" s="367"/>
      <c r="P19" s="367"/>
      <c r="Q19" s="367"/>
      <c r="R19" s="367"/>
      <c r="S19" s="367"/>
      <c r="T19" s="367"/>
      <c r="U19" s="367"/>
      <c r="V19" s="197"/>
      <c r="W19" s="371"/>
      <c r="X19" s="372"/>
      <c r="Y19" s="372"/>
      <c r="Z19" s="372"/>
      <c r="AA19" s="372"/>
      <c r="AB19" s="372"/>
      <c r="AC19" s="372"/>
      <c r="AD19" s="373"/>
    </row>
    <row r="20" spans="14:52" x14ac:dyDescent="0.25">
      <c r="N20" s="367"/>
      <c r="O20" s="367"/>
      <c r="P20" s="367"/>
      <c r="Q20" s="367"/>
      <c r="R20" s="367"/>
      <c r="S20" s="367"/>
      <c r="T20" s="367"/>
      <c r="U20" s="367"/>
      <c r="V20" s="197"/>
      <c r="W20" s="371"/>
      <c r="X20" s="372"/>
      <c r="Y20" s="372"/>
      <c r="Z20" s="372"/>
      <c r="AA20" s="372"/>
      <c r="AB20" s="372"/>
      <c r="AC20" s="372"/>
      <c r="AD20" s="373"/>
    </row>
    <row r="21" spans="14:52" x14ac:dyDescent="0.25">
      <c r="N21" s="367"/>
      <c r="O21" s="367"/>
      <c r="P21" s="367"/>
      <c r="Q21" s="367"/>
      <c r="R21" s="367"/>
      <c r="S21" s="367"/>
      <c r="T21" s="367"/>
      <c r="U21" s="367"/>
      <c r="V21" s="197"/>
      <c r="W21" s="374"/>
      <c r="X21" s="375"/>
      <c r="Y21" s="375"/>
      <c r="Z21" s="375"/>
      <c r="AA21" s="375"/>
      <c r="AB21" s="375"/>
      <c r="AC21" s="375"/>
      <c r="AD21" s="376"/>
    </row>
    <row r="22" spans="14:52" x14ac:dyDescent="0.25">
      <c r="N22" s="367"/>
      <c r="O22" s="367"/>
      <c r="P22" s="367"/>
      <c r="Q22" s="367"/>
      <c r="R22" s="367"/>
      <c r="S22" s="367"/>
      <c r="T22" s="367"/>
      <c r="U22" s="367"/>
      <c r="V22" s="197"/>
      <c r="W22" s="368"/>
      <c r="X22" s="369"/>
      <c r="Y22" s="369"/>
      <c r="Z22" s="369"/>
      <c r="AA22" s="369"/>
      <c r="AB22" s="369"/>
      <c r="AC22" s="369"/>
      <c r="AD22" s="370"/>
    </row>
    <row r="23" spans="14:52" x14ac:dyDescent="0.25">
      <c r="N23" s="367"/>
      <c r="O23" s="367"/>
      <c r="P23" s="367"/>
      <c r="Q23" s="367"/>
      <c r="R23" s="367"/>
      <c r="S23" s="367"/>
      <c r="T23" s="367"/>
      <c r="U23" s="367"/>
      <c r="V23" s="197"/>
      <c r="W23" s="371"/>
      <c r="X23" s="372"/>
      <c r="Y23" s="372"/>
      <c r="Z23" s="372"/>
      <c r="AA23" s="372"/>
      <c r="AB23" s="372"/>
      <c r="AC23" s="372"/>
      <c r="AD23" s="373"/>
    </row>
    <row r="24" spans="14:52" x14ac:dyDescent="0.25">
      <c r="N24" s="367"/>
      <c r="O24" s="367"/>
      <c r="P24" s="367"/>
      <c r="Q24" s="367"/>
      <c r="R24" s="367"/>
      <c r="S24" s="367"/>
      <c r="T24" s="367"/>
      <c r="U24" s="367"/>
      <c r="V24" s="197"/>
      <c r="W24" s="371"/>
      <c r="X24" s="372"/>
      <c r="Y24" s="372"/>
      <c r="Z24" s="372"/>
      <c r="AA24" s="372"/>
      <c r="AB24" s="372"/>
      <c r="AC24" s="372"/>
      <c r="AD24" s="373"/>
    </row>
    <row r="25" spans="14:52" x14ac:dyDescent="0.25">
      <c r="N25" s="367"/>
      <c r="O25" s="367"/>
      <c r="P25" s="367"/>
      <c r="Q25" s="367"/>
      <c r="R25" s="367"/>
      <c r="S25" s="367"/>
      <c r="T25" s="367"/>
      <c r="U25" s="367"/>
      <c r="V25" s="197"/>
      <c r="W25" s="374"/>
      <c r="X25" s="375"/>
      <c r="Y25" s="375"/>
      <c r="Z25" s="375"/>
      <c r="AA25" s="375"/>
      <c r="AB25" s="375"/>
      <c r="AC25" s="375"/>
      <c r="AD25" s="376"/>
    </row>
    <row r="26" spans="14:52" x14ac:dyDescent="0.25">
      <c r="N26" s="367"/>
      <c r="O26" s="367"/>
      <c r="P26" s="367"/>
      <c r="Q26" s="367"/>
      <c r="R26" s="367"/>
      <c r="S26" s="367"/>
      <c r="T26" s="367"/>
      <c r="U26" s="367"/>
      <c r="V26" s="197"/>
      <c r="W26" s="368"/>
      <c r="X26" s="369"/>
      <c r="Y26" s="369"/>
      <c r="Z26" s="369"/>
      <c r="AA26" s="369"/>
      <c r="AB26" s="369"/>
      <c r="AC26" s="369"/>
      <c r="AD26" s="370"/>
    </row>
    <row r="27" spans="14:52" x14ac:dyDescent="0.25">
      <c r="N27" s="367"/>
      <c r="O27" s="367"/>
      <c r="P27" s="367"/>
      <c r="Q27" s="367"/>
      <c r="R27" s="367"/>
      <c r="S27" s="367"/>
      <c r="T27" s="367"/>
      <c r="U27" s="367"/>
      <c r="V27" s="197"/>
      <c r="W27" s="371"/>
      <c r="X27" s="372"/>
      <c r="Y27" s="372"/>
      <c r="Z27" s="372"/>
      <c r="AA27" s="372"/>
      <c r="AB27" s="372"/>
      <c r="AC27" s="372"/>
      <c r="AD27" s="373"/>
    </row>
    <row r="28" spans="14:52" x14ac:dyDescent="0.25">
      <c r="N28" s="367"/>
      <c r="O28" s="367"/>
      <c r="P28" s="367"/>
      <c r="Q28" s="367"/>
      <c r="R28" s="367"/>
      <c r="S28" s="367"/>
      <c r="T28" s="367"/>
      <c r="U28" s="367"/>
      <c r="V28" s="197"/>
      <c r="W28" s="371"/>
      <c r="X28" s="372"/>
      <c r="Y28" s="372"/>
      <c r="Z28" s="372"/>
      <c r="AA28" s="372"/>
      <c r="AB28" s="372"/>
      <c r="AC28" s="372"/>
      <c r="AD28" s="373"/>
    </row>
    <row r="29" spans="14:52" x14ac:dyDescent="0.25">
      <c r="N29" s="367"/>
      <c r="O29" s="367"/>
      <c r="P29" s="367"/>
      <c r="Q29" s="367"/>
      <c r="R29" s="367"/>
      <c r="S29" s="367"/>
      <c r="T29" s="367"/>
      <c r="U29" s="367"/>
      <c r="V29" s="197"/>
      <c r="W29" s="374"/>
      <c r="X29" s="375"/>
      <c r="Y29" s="375"/>
      <c r="Z29" s="375"/>
      <c r="AA29" s="375"/>
      <c r="AB29" s="375"/>
      <c r="AC29" s="375"/>
      <c r="AD29" s="376"/>
    </row>
    <row r="30" spans="14:52" x14ac:dyDescent="0.25">
      <c r="N30" s="367"/>
      <c r="O30" s="367"/>
      <c r="P30" s="367"/>
      <c r="Q30" s="367"/>
      <c r="R30" s="367"/>
      <c r="S30" s="367"/>
      <c r="T30" s="367"/>
      <c r="U30" s="367"/>
      <c r="V30" s="197"/>
      <c r="W30" s="368"/>
      <c r="X30" s="369"/>
      <c r="Y30" s="369"/>
      <c r="Z30" s="369"/>
      <c r="AA30" s="369"/>
      <c r="AB30" s="369"/>
      <c r="AC30" s="369"/>
      <c r="AD30" s="370"/>
    </row>
    <row r="31" spans="14:52" x14ac:dyDescent="0.25">
      <c r="N31" s="367"/>
      <c r="O31" s="367"/>
      <c r="P31" s="367"/>
      <c r="Q31" s="367"/>
      <c r="R31" s="367"/>
      <c r="S31" s="367"/>
      <c r="T31" s="367"/>
      <c r="U31" s="367"/>
      <c r="V31" s="197"/>
      <c r="W31" s="371"/>
      <c r="X31" s="372"/>
      <c r="Y31" s="372"/>
      <c r="Z31" s="372"/>
      <c r="AA31" s="372"/>
      <c r="AB31" s="372"/>
      <c r="AC31" s="372"/>
      <c r="AD31" s="373"/>
    </row>
    <row r="32" spans="14:52" x14ac:dyDescent="0.25">
      <c r="N32" s="367"/>
      <c r="O32" s="367"/>
      <c r="P32" s="367"/>
      <c r="Q32" s="367"/>
      <c r="R32" s="367"/>
      <c r="S32" s="367"/>
      <c r="T32" s="367"/>
      <c r="U32" s="367"/>
      <c r="V32" s="197"/>
      <c r="W32" s="371"/>
      <c r="X32" s="372"/>
      <c r="Y32" s="372"/>
      <c r="Z32" s="372"/>
      <c r="AA32" s="372"/>
      <c r="AB32" s="372"/>
      <c r="AC32" s="372"/>
      <c r="AD32" s="373"/>
    </row>
    <row r="33" spans="5:30" x14ac:dyDescent="0.25">
      <c r="N33" s="367"/>
      <c r="O33" s="367"/>
      <c r="P33" s="367"/>
      <c r="Q33" s="367"/>
      <c r="R33" s="367"/>
      <c r="S33" s="367"/>
      <c r="T33" s="367"/>
      <c r="U33" s="367"/>
      <c r="V33" s="197"/>
      <c r="W33" s="374"/>
      <c r="X33" s="375"/>
      <c r="Y33" s="375"/>
      <c r="Z33" s="375"/>
      <c r="AA33" s="375"/>
      <c r="AB33" s="375"/>
      <c r="AC33" s="375"/>
      <c r="AD33" s="376"/>
    </row>
    <row r="34" spans="5:30" x14ac:dyDescent="0.25">
      <c r="N34" s="367"/>
      <c r="O34" s="367"/>
      <c r="P34" s="367"/>
      <c r="Q34" s="367"/>
      <c r="R34" s="367"/>
      <c r="S34" s="367"/>
      <c r="T34" s="367"/>
      <c r="U34" s="367"/>
      <c r="V34" s="197"/>
      <c r="W34" s="368"/>
      <c r="X34" s="369"/>
      <c r="Y34" s="369"/>
      <c r="Z34" s="369"/>
      <c r="AA34" s="369"/>
      <c r="AB34" s="369"/>
      <c r="AC34" s="369"/>
      <c r="AD34" s="370"/>
    </row>
    <row r="35" spans="5:30" x14ac:dyDescent="0.25">
      <c r="N35" s="367"/>
      <c r="O35" s="367"/>
      <c r="P35" s="367"/>
      <c r="Q35" s="367"/>
      <c r="R35" s="367"/>
      <c r="S35" s="367"/>
      <c r="T35" s="367"/>
      <c r="U35" s="367"/>
      <c r="V35" s="197"/>
      <c r="W35" s="371"/>
      <c r="X35" s="372"/>
      <c r="Y35" s="372"/>
      <c r="Z35" s="372"/>
      <c r="AA35" s="372"/>
      <c r="AB35" s="372"/>
      <c r="AC35" s="372"/>
      <c r="AD35" s="373"/>
    </row>
    <row r="36" spans="5:30" x14ac:dyDescent="0.25">
      <c r="N36" s="367"/>
      <c r="O36" s="367"/>
      <c r="P36" s="367"/>
      <c r="Q36" s="367"/>
      <c r="R36" s="367"/>
      <c r="S36" s="367"/>
      <c r="T36" s="367"/>
      <c r="U36" s="367"/>
      <c r="V36" s="197"/>
      <c r="W36" s="371"/>
      <c r="X36" s="372"/>
      <c r="Y36" s="372"/>
      <c r="Z36" s="372"/>
      <c r="AA36" s="372"/>
      <c r="AB36" s="372"/>
      <c r="AC36" s="372"/>
      <c r="AD36" s="373"/>
    </row>
    <row r="37" spans="5:30" x14ac:dyDescent="0.25">
      <c r="N37" s="367"/>
      <c r="O37" s="367"/>
      <c r="P37" s="367"/>
      <c r="Q37" s="367"/>
      <c r="R37" s="367"/>
      <c r="S37" s="367"/>
      <c r="T37" s="367"/>
      <c r="U37" s="367"/>
      <c r="V37" s="197"/>
      <c r="W37" s="374"/>
      <c r="X37" s="375"/>
      <c r="Y37" s="375"/>
      <c r="Z37" s="375"/>
      <c r="AA37" s="375"/>
      <c r="AB37" s="375"/>
      <c r="AC37" s="375"/>
      <c r="AD37" s="376"/>
    </row>
    <row r="47" spans="5:30" x14ac:dyDescent="0.25">
      <c r="E47" t="s">
        <v>774</v>
      </c>
    </row>
    <row r="48" spans="5:30" x14ac:dyDescent="0.25">
      <c r="E48" t="s">
        <v>775</v>
      </c>
    </row>
    <row r="49" spans="5:5" x14ac:dyDescent="0.25">
      <c r="E49" t="s">
        <v>776</v>
      </c>
    </row>
    <row r="50" spans="5:5" x14ac:dyDescent="0.25">
      <c r="E50" t="s">
        <v>775</v>
      </c>
    </row>
    <row r="51" spans="5:5" x14ac:dyDescent="0.25">
      <c r="E51" t="s">
        <v>776</v>
      </c>
    </row>
  </sheetData>
  <mergeCells count="16">
    <mergeCell ref="N10:U13"/>
    <mergeCell ref="W10:AD13"/>
    <mergeCell ref="N14:U17"/>
    <mergeCell ref="N18:U21"/>
    <mergeCell ref="N22:U25"/>
    <mergeCell ref="AF14:AQ17"/>
    <mergeCell ref="AS14:AZ17"/>
    <mergeCell ref="N26:U29"/>
    <mergeCell ref="N30:U33"/>
    <mergeCell ref="N34:U37"/>
    <mergeCell ref="W14:AD17"/>
    <mergeCell ref="W18:AD21"/>
    <mergeCell ref="W22:AD25"/>
    <mergeCell ref="W26:AD29"/>
    <mergeCell ref="W30:AD33"/>
    <mergeCell ref="W34:AD37"/>
  </mergeCells>
  <dataValidations count="3">
    <dataValidation type="list" allowBlank="1" showInputMessage="1" showErrorMessage="1" sqref="G4 I4 K4 M4" xr:uid="{90719E7C-2D32-440F-9739-C67EC8F64559}">
      <formula1>SIGN</formula1>
    </dataValidation>
    <dataValidation type="list" allowBlank="1" showInputMessage="1" showErrorMessage="1" sqref="E5 G5 I5 K5 M5" xr:uid="{CF9C4B91-BD3C-43F3-822B-A8E518D5D4A0}">
      <formula1>INDIRECT(E4)</formula1>
    </dataValidation>
    <dataValidation type="list" allowBlank="1" showInputMessage="1" showErrorMessage="1" sqref="E4" xr:uid="{2AB7B7FC-46B4-4E53-8BA0-71B63E209A4D}">
      <formula1>Planet</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BD9E-377F-457B-9404-DCB359886598}">
  <dimension ref="A1:K76"/>
  <sheetViews>
    <sheetView workbookViewId="0">
      <selection activeCell="F56" sqref="F56"/>
    </sheetView>
  </sheetViews>
  <sheetFormatPr defaultRowHeight="15" x14ac:dyDescent="0.25"/>
  <cols>
    <col min="1" max="1" width="11.42578125" style="42" customWidth="1"/>
    <col min="2" max="11" width="19.7109375" style="42" customWidth="1"/>
    <col min="12" max="16384" width="9.140625" style="42"/>
  </cols>
  <sheetData>
    <row r="1" spans="1:11" ht="20.25" customHeight="1" x14ac:dyDescent="0.25">
      <c r="A1" s="44" t="s">
        <v>155</v>
      </c>
    </row>
    <row r="3" spans="1:11" x14ac:dyDescent="0.25">
      <c r="A3" s="41" t="s">
        <v>156</v>
      </c>
      <c r="B3" s="41" t="s">
        <v>15</v>
      </c>
      <c r="C3" s="41" t="s">
        <v>17</v>
      </c>
      <c r="D3" s="41" t="s">
        <v>66</v>
      </c>
      <c r="E3" s="41" t="s">
        <v>67</v>
      </c>
      <c r="F3" s="41" t="s">
        <v>8</v>
      </c>
      <c r="G3" s="41" t="s">
        <v>22</v>
      </c>
      <c r="H3" s="41" t="s">
        <v>24</v>
      </c>
      <c r="I3" s="41" t="s">
        <v>26</v>
      </c>
      <c r="J3" s="41" t="s">
        <v>28</v>
      </c>
      <c r="K3" s="41" t="s">
        <v>30</v>
      </c>
    </row>
    <row r="4" spans="1:11" x14ac:dyDescent="0.25">
      <c r="A4" s="42" t="s">
        <v>15</v>
      </c>
      <c r="B4" s="45" t="s">
        <v>261</v>
      </c>
      <c r="C4" s="45" t="s">
        <v>311</v>
      </c>
      <c r="D4" s="45" t="s">
        <v>193</v>
      </c>
      <c r="E4" s="45" t="s">
        <v>225</v>
      </c>
      <c r="F4" s="45" t="s">
        <v>157</v>
      </c>
      <c r="G4" s="45" t="s">
        <v>436</v>
      </c>
      <c r="H4" s="45" t="s">
        <v>483</v>
      </c>
      <c r="I4" s="45" t="s">
        <v>540</v>
      </c>
      <c r="J4" s="45" t="s">
        <v>754</v>
      </c>
      <c r="K4" s="45" t="s">
        <v>647</v>
      </c>
    </row>
    <row r="5" spans="1:11" x14ac:dyDescent="0.25">
      <c r="A5" s="42" t="s">
        <v>17</v>
      </c>
      <c r="B5" s="45" t="s">
        <v>262</v>
      </c>
      <c r="C5" s="45" t="s">
        <v>312</v>
      </c>
      <c r="D5" s="45" t="s">
        <v>194</v>
      </c>
      <c r="E5" s="45" t="s">
        <v>226</v>
      </c>
      <c r="F5" s="45" t="s">
        <v>158</v>
      </c>
      <c r="G5" s="45" t="s">
        <v>437</v>
      </c>
      <c r="H5" s="45" t="s">
        <v>484</v>
      </c>
      <c r="I5" s="45" t="s">
        <v>541</v>
      </c>
      <c r="J5" s="45" t="s">
        <v>595</v>
      </c>
      <c r="K5" s="45" t="s">
        <v>648</v>
      </c>
    </row>
    <row r="6" spans="1:11" x14ac:dyDescent="0.25">
      <c r="A6" s="42" t="s">
        <v>66</v>
      </c>
      <c r="B6" s="45" t="s">
        <v>263</v>
      </c>
      <c r="C6" s="45" t="s">
        <v>313</v>
      </c>
      <c r="D6" s="45" t="s">
        <v>399</v>
      </c>
      <c r="E6" s="45" t="s">
        <v>227</v>
      </c>
      <c r="F6" s="45" t="s">
        <v>159</v>
      </c>
      <c r="G6" s="45" t="s">
        <v>438</v>
      </c>
      <c r="H6" s="45" t="s">
        <v>485</v>
      </c>
      <c r="I6" s="45" t="s">
        <v>542</v>
      </c>
      <c r="J6" s="45" t="s">
        <v>596</v>
      </c>
      <c r="K6" s="45" t="s">
        <v>649</v>
      </c>
    </row>
    <row r="7" spans="1:11" x14ac:dyDescent="0.25">
      <c r="A7" s="42" t="s">
        <v>67</v>
      </c>
      <c r="B7" s="45" t="s">
        <v>264</v>
      </c>
      <c r="C7" s="45" t="s">
        <v>314</v>
      </c>
      <c r="D7" s="45" t="s">
        <v>195</v>
      </c>
      <c r="E7" s="45" t="s">
        <v>228</v>
      </c>
      <c r="F7" s="45" t="s">
        <v>160</v>
      </c>
      <c r="G7" s="45" t="s">
        <v>439</v>
      </c>
      <c r="H7" s="45" t="s">
        <v>486</v>
      </c>
      <c r="I7" s="45" t="s">
        <v>543</v>
      </c>
      <c r="J7" s="45" t="s">
        <v>597</v>
      </c>
      <c r="K7" s="45" t="s">
        <v>650</v>
      </c>
    </row>
    <row r="8" spans="1:11" x14ac:dyDescent="0.25">
      <c r="A8" s="42" t="s">
        <v>8</v>
      </c>
      <c r="B8" s="45" t="s">
        <v>265</v>
      </c>
      <c r="C8" s="45" t="s">
        <v>315</v>
      </c>
      <c r="D8" s="45" t="s">
        <v>196</v>
      </c>
      <c r="E8" s="45" t="s">
        <v>229</v>
      </c>
      <c r="F8" s="45" t="s">
        <v>161</v>
      </c>
      <c r="G8" s="45" t="s">
        <v>440</v>
      </c>
      <c r="H8" s="45" t="s">
        <v>487</v>
      </c>
      <c r="I8" s="45" t="s">
        <v>544</v>
      </c>
      <c r="J8" s="45" t="s">
        <v>598</v>
      </c>
      <c r="K8" s="45" t="s">
        <v>651</v>
      </c>
    </row>
    <row r="9" spans="1:11" x14ac:dyDescent="0.25">
      <c r="A9" s="42" t="s">
        <v>22</v>
      </c>
      <c r="B9" s="45" t="s">
        <v>266</v>
      </c>
      <c r="C9" s="45" t="s">
        <v>316</v>
      </c>
      <c r="D9" s="45" t="s">
        <v>197</v>
      </c>
      <c r="E9" s="45" t="s">
        <v>230</v>
      </c>
      <c r="F9" s="45" t="s">
        <v>162</v>
      </c>
      <c r="G9" s="45" t="s">
        <v>441</v>
      </c>
      <c r="H9" s="45" t="s">
        <v>488</v>
      </c>
      <c r="I9" s="45" t="s">
        <v>545</v>
      </c>
      <c r="J9" s="45" t="s">
        <v>599</v>
      </c>
      <c r="K9" s="45" t="s">
        <v>439</v>
      </c>
    </row>
    <row r="10" spans="1:11" x14ac:dyDescent="0.25">
      <c r="A10" s="42" t="s">
        <v>24</v>
      </c>
      <c r="B10" s="45" t="s">
        <v>267</v>
      </c>
      <c r="C10" s="45" t="s">
        <v>317</v>
      </c>
      <c r="D10" s="45" t="s">
        <v>198</v>
      </c>
      <c r="E10" s="45" t="s">
        <v>231</v>
      </c>
      <c r="F10" s="45" t="s">
        <v>163</v>
      </c>
      <c r="G10" s="45" t="s">
        <v>442</v>
      </c>
      <c r="H10" s="45" t="s">
        <v>489</v>
      </c>
      <c r="I10" s="45" t="s">
        <v>546</v>
      </c>
      <c r="J10" s="45" t="s">
        <v>600</v>
      </c>
      <c r="K10" s="45" t="s">
        <v>652</v>
      </c>
    </row>
    <row r="11" spans="1:11" x14ac:dyDescent="0.25">
      <c r="A11" s="42" t="s">
        <v>26</v>
      </c>
      <c r="B11" s="45" t="s">
        <v>268</v>
      </c>
      <c r="C11" s="45" t="s">
        <v>166</v>
      </c>
      <c r="D11" s="45" t="s">
        <v>199</v>
      </c>
      <c r="E11" s="45" t="s">
        <v>232</v>
      </c>
      <c r="F11" s="45" t="s">
        <v>164</v>
      </c>
      <c r="G11" s="45" t="s">
        <v>443</v>
      </c>
      <c r="H11" s="45" t="s">
        <v>490</v>
      </c>
      <c r="I11" s="45" t="s">
        <v>547</v>
      </c>
      <c r="J11" s="45" t="s">
        <v>601</v>
      </c>
      <c r="K11" s="45" t="s">
        <v>653</v>
      </c>
    </row>
    <row r="12" spans="1:11" x14ac:dyDescent="0.25">
      <c r="A12" s="42" t="s">
        <v>28</v>
      </c>
      <c r="B12" s="45" t="s">
        <v>269</v>
      </c>
      <c r="C12" s="45" t="s">
        <v>318</v>
      </c>
      <c r="D12" s="45" t="s">
        <v>200</v>
      </c>
      <c r="E12" s="45" t="s">
        <v>233</v>
      </c>
      <c r="F12" s="45" t="s">
        <v>165</v>
      </c>
      <c r="G12" s="45" t="s">
        <v>444</v>
      </c>
      <c r="H12" s="45" t="s">
        <v>491</v>
      </c>
      <c r="I12" s="45" t="s">
        <v>548</v>
      </c>
      <c r="J12" s="45" t="s">
        <v>602</v>
      </c>
      <c r="K12" s="45" t="s">
        <v>654</v>
      </c>
    </row>
    <row r="13" spans="1:11" x14ac:dyDescent="0.25">
      <c r="A13" s="42" t="s">
        <v>30</v>
      </c>
      <c r="B13" s="45" t="s">
        <v>270</v>
      </c>
      <c r="C13" s="45" t="s">
        <v>319</v>
      </c>
      <c r="D13" s="45" t="s">
        <v>201</v>
      </c>
      <c r="E13" s="45" t="s">
        <v>234</v>
      </c>
      <c r="F13" s="45" t="s">
        <v>166</v>
      </c>
      <c r="G13" s="45" t="s">
        <v>445</v>
      </c>
      <c r="H13" s="45" t="s">
        <v>492</v>
      </c>
      <c r="I13" s="45" t="s">
        <v>549</v>
      </c>
      <c r="J13" s="45" t="s">
        <v>603</v>
      </c>
      <c r="K13" s="45" t="s">
        <v>655</v>
      </c>
    </row>
    <row r="14" spans="1:11" x14ac:dyDescent="0.25">
      <c r="B14" s="45" t="s">
        <v>271</v>
      </c>
      <c r="C14" s="45" t="s">
        <v>320</v>
      </c>
      <c r="D14" s="45" t="s">
        <v>202</v>
      </c>
      <c r="E14" s="45" t="s">
        <v>235</v>
      </c>
      <c r="F14" s="45" t="s">
        <v>167</v>
      </c>
      <c r="G14" s="45" t="s">
        <v>446</v>
      </c>
      <c r="H14" s="45" t="s">
        <v>493</v>
      </c>
      <c r="I14" s="45" t="s">
        <v>550</v>
      </c>
      <c r="J14" s="45" t="s">
        <v>604</v>
      </c>
      <c r="K14" s="45" t="s">
        <v>656</v>
      </c>
    </row>
    <row r="15" spans="1:11" x14ac:dyDescent="0.25">
      <c r="B15" s="45" t="s">
        <v>272</v>
      </c>
      <c r="C15" s="45" t="s">
        <v>321</v>
      </c>
      <c r="D15" s="45" t="s">
        <v>203</v>
      </c>
      <c r="E15" s="45" t="s">
        <v>236</v>
      </c>
      <c r="F15" s="45" t="s">
        <v>168</v>
      </c>
      <c r="G15" s="45" t="s">
        <v>447</v>
      </c>
      <c r="H15" s="45" t="s">
        <v>494</v>
      </c>
      <c r="I15" s="45" t="s">
        <v>551</v>
      </c>
      <c r="J15" s="45" t="s">
        <v>605</v>
      </c>
      <c r="K15" s="45" t="s">
        <v>657</v>
      </c>
    </row>
    <row r="16" spans="1:11" x14ac:dyDescent="0.25">
      <c r="B16" s="45" t="s">
        <v>273</v>
      </c>
      <c r="C16" s="45" t="s">
        <v>322</v>
      </c>
      <c r="D16" s="45" t="s">
        <v>204</v>
      </c>
      <c r="E16" s="45" t="s">
        <v>237</v>
      </c>
      <c r="F16" s="45" t="s">
        <v>169</v>
      </c>
      <c r="G16" s="45" t="s">
        <v>448</v>
      </c>
      <c r="H16" s="45" t="s">
        <v>495</v>
      </c>
      <c r="I16" s="45" t="s">
        <v>552</v>
      </c>
      <c r="J16" s="45" t="s">
        <v>606</v>
      </c>
      <c r="K16" s="45" t="s">
        <v>658</v>
      </c>
    </row>
    <row r="17" spans="2:11" x14ac:dyDescent="0.25">
      <c r="B17" s="45" t="s">
        <v>274</v>
      </c>
      <c r="C17" s="45" t="s">
        <v>323</v>
      </c>
      <c r="D17" s="45" t="s">
        <v>205</v>
      </c>
      <c r="E17" s="45" t="s">
        <v>238</v>
      </c>
      <c r="F17" s="45" t="s">
        <v>170</v>
      </c>
      <c r="G17" s="45" t="s">
        <v>449</v>
      </c>
      <c r="H17" s="45" t="s">
        <v>496</v>
      </c>
      <c r="I17" s="45" t="s">
        <v>553</v>
      </c>
      <c r="J17" s="45" t="s">
        <v>607</v>
      </c>
      <c r="K17" s="45" t="s">
        <v>659</v>
      </c>
    </row>
    <row r="18" spans="2:11" x14ac:dyDescent="0.25">
      <c r="B18" s="45" t="s">
        <v>275</v>
      </c>
      <c r="C18" s="45" t="s">
        <v>324</v>
      </c>
      <c r="D18" s="45" t="s">
        <v>206</v>
      </c>
      <c r="E18" s="45" t="s">
        <v>239</v>
      </c>
      <c r="F18" s="45" t="s">
        <v>171</v>
      </c>
      <c r="G18" s="45" t="s">
        <v>450</v>
      </c>
      <c r="H18" s="45" t="s">
        <v>497</v>
      </c>
      <c r="I18" s="45" t="s">
        <v>554</v>
      </c>
      <c r="J18" s="45" t="s">
        <v>608</v>
      </c>
      <c r="K18" s="45" t="s">
        <v>660</v>
      </c>
    </row>
    <row r="19" spans="2:11" x14ac:dyDescent="0.25">
      <c r="B19" s="45" t="s">
        <v>276</v>
      </c>
      <c r="C19" s="45" t="s">
        <v>325</v>
      </c>
      <c r="D19" s="45" t="s">
        <v>207</v>
      </c>
      <c r="E19" s="45" t="s">
        <v>240</v>
      </c>
      <c r="F19" s="45" t="s">
        <v>172</v>
      </c>
      <c r="G19" s="45" t="s">
        <v>451</v>
      </c>
      <c r="H19" s="45" t="s">
        <v>498</v>
      </c>
      <c r="I19" s="45" t="s">
        <v>555</v>
      </c>
      <c r="J19" s="45" t="s">
        <v>609</v>
      </c>
      <c r="K19" s="45" t="s">
        <v>661</v>
      </c>
    </row>
    <row r="20" spans="2:11" x14ac:dyDescent="0.25">
      <c r="B20" s="45" t="s">
        <v>277</v>
      </c>
      <c r="C20" s="45" t="s">
        <v>326</v>
      </c>
      <c r="D20" s="45" t="s">
        <v>208</v>
      </c>
      <c r="E20" s="45" t="s">
        <v>241</v>
      </c>
      <c r="F20" s="45" t="s">
        <v>173</v>
      </c>
      <c r="G20" s="45" t="s">
        <v>452</v>
      </c>
      <c r="H20" s="45" t="s">
        <v>499</v>
      </c>
      <c r="I20" s="45" t="s">
        <v>556</v>
      </c>
      <c r="J20" s="45" t="s">
        <v>610</v>
      </c>
      <c r="K20" s="45" t="s">
        <v>662</v>
      </c>
    </row>
    <row r="21" spans="2:11" x14ac:dyDescent="0.25">
      <c r="B21" s="45" t="s">
        <v>278</v>
      </c>
      <c r="C21" s="45" t="s">
        <v>327</v>
      </c>
      <c r="D21" s="45" t="s">
        <v>209</v>
      </c>
      <c r="E21" s="45" t="s">
        <v>242</v>
      </c>
      <c r="F21" s="45" t="s">
        <v>174</v>
      </c>
      <c r="G21" s="45" t="s">
        <v>453</v>
      </c>
      <c r="H21" s="45" t="s">
        <v>500</v>
      </c>
      <c r="I21" s="45" t="s">
        <v>557</v>
      </c>
      <c r="J21" s="45" t="s">
        <v>611</v>
      </c>
      <c r="K21" s="45" t="s">
        <v>663</v>
      </c>
    </row>
    <row r="22" spans="2:11" x14ac:dyDescent="0.25">
      <c r="B22" s="45" t="s">
        <v>279</v>
      </c>
      <c r="C22" s="45" t="s">
        <v>328</v>
      </c>
      <c r="D22" s="45" t="s">
        <v>210</v>
      </c>
      <c r="E22" s="45" t="s">
        <v>243</v>
      </c>
      <c r="F22" s="45" t="s">
        <v>175</v>
      </c>
      <c r="G22" s="45" t="s">
        <v>454</v>
      </c>
      <c r="H22" s="45" t="s">
        <v>501</v>
      </c>
      <c r="I22" s="45" t="s">
        <v>558</v>
      </c>
      <c r="J22" s="45" t="s">
        <v>612</v>
      </c>
      <c r="K22" s="45" t="s">
        <v>664</v>
      </c>
    </row>
    <row r="23" spans="2:11" x14ac:dyDescent="0.25">
      <c r="B23" s="45" t="s">
        <v>280</v>
      </c>
      <c r="C23" s="45" t="s">
        <v>329</v>
      </c>
      <c r="D23" s="45" t="s">
        <v>211</v>
      </c>
      <c r="E23" s="45" t="s">
        <v>244</v>
      </c>
      <c r="F23" s="45" t="s">
        <v>176</v>
      </c>
      <c r="G23" s="45" t="s">
        <v>455</v>
      </c>
      <c r="H23" s="45" t="s">
        <v>502</v>
      </c>
      <c r="I23" s="45" t="s">
        <v>559</v>
      </c>
      <c r="J23" s="45" t="s">
        <v>613</v>
      </c>
      <c r="K23" s="45" t="s">
        <v>665</v>
      </c>
    </row>
    <row r="24" spans="2:11" x14ac:dyDescent="0.25">
      <c r="B24" s="45" t="s">
        <v>281</v>
      </c>
      <c r="C24" s="45" t="s">
        <v>330</v>
      </c>
      <c r="D24" s="45" t="s">
        <v>212</v>
      </c>
      <c r="E24" s="45" t="s">
        <v>245</v>
      </c>
      <c r="F24" s="45" t="s">
        <v>177</v>
      </c>
      <c r="G24" s="45" t="s">
        <v>456</v>
      </c>
      <c r="H24" s="45" t="s">
        <v>503</v>
      </c>
      <c r="I24" s="45" t="s">
        <v>560</v>
      </c>
      <c r="J24" s="45" t="s">
        <v>614</v>
      </c>
      <c r="K24" s="45" t="s">
        <v>666</v>
      </c>
    </row>
    <row r="25" spans="2:11" x14ac:dyDescent="0.25">
      <c r="B25" s="45" t="s">
        <v>282</v>
      </c>
      <c r="C25" s="45" t="s">
        <v>331</v>
      </c>
      <c r="D25" s="45" t="s">
        <v>213</v>
      </c>
      <c r="E25" s="45" t="s">
        <v>246</v>
      </c>
      <c r="F25" s="45" t="s">
        <v>178</v>
      </c>
      <c r="G25" s="45" t="s">
        <v>457</v>
      </c>
      <c r="H25" s="45" t="s">
        <v>504</v>
      </c>
      <c r="I25" s="45" t="s">
        <v>561</v>
      </c>
      <c r="J25" s="45" t="s">
        <v>615</v>
      </c>
      <c r="K25" s="45" t="s">
        <v>667</v>
      </c>
    </row>
    <row r="26" spans="2:11" x14ac:dyDescent="0.25">
      <c r="B26" s="45" t="s">
        <v>283</v>
      </c>
      <c r="C26" s="45" t="s">
        <v>332</v>
      </c>
      <c r="D26" s="45" t="s">
        <v>214</v>
      </c>
      <c r="E26" s="45" t="s">
        <v>247</v>
      </c>
      <c r="F26" s="45" t="s">
        <v>179</v>
      </c>
      <c r="G26" s="45" t="s">
        <v>458</v>
      </c>
      <c r="H26" s="45" t="s">
        <v>505</v>
      </c>
      <c r="I26" s="45" t="s">
        <v>562</v>
      </c>
      <c r="J26" s="45" t="s">
        <v>616</v>
      </c>
      <c r="K26" s="45" t="s">
        <v>668</v>
      </c>
    </row>
    <row r="27" spans="2:11" x14ac:dyDescent="0.25">
      <c r="B27" s="45" t="s">
        <v>284</v>
      </c>
      <c r="C27" s="45" t="s">
        <v>333</v>
      </c>
      <c r="D27" s="45" t="s">
        <v>215</v>
      </c>
      <c r="E27" s="45" t="s">
        <v>248</v>
      </c>
      <c r="F27" s="45" t="s">
        <v>180</v>
      </c>
      <c r="G27" s="45" t="s">
        <v>459</v>
      </c>
      <c r="H27" s="45" t="s">
        <v>506</v>
      </c>
      <c r="I27" s="45" t="s">
        <v>563</v>
      </c>
      <c r="J27" s="45" t="s">
        <v>617</v>
      </c>
      <c r="K27" s="45" t="s">
        <v>669</v>
      </c>
    </row>
    <row r="28" spans="2:11" x14ac:dyDescent="0.25">
      <c r="B28" s="45" t="s">
        <v>285</v>
      </c>
      <c r="C28" s="45" t="s">
        <v>334</v>
      </c>
      <c r="D28" s="45" t="s">
        <v>216</v>
      </c>
      <c r="E28" s="45" t="s">
        <v>249</v>
      </c>
      <c r="F28" s="45" t="s">
        <v>181</v>
      </c>
      <c r="G28" s="45" t="s">
        <v>460</v>
      </c>
      <c r="H28" s="45" t="s">
        <v>507</v>
      </c>
      <c r="I28" s="45" t="s">
        <v>564</v>
      </c>
      <c r="J28" s="45" t="s">
        <v>618</v>
      </c>
      <c r="K28" s="45" t="s">
        <v>670</v>
      </c>
    </row>
    <row r="29" spans="2:11" x14ac:dyDescent="0.25">
      <c r="B29" s="45" t="s">
        <v>286</v>
      </c>
      <c r="C29" s="45" t="s">
        <v>335</v>
      </c>
      <c r="D29" s="45" t="s">
        <v>217</v>
      </c>
      <c r="E29" s="45" t="s">
        <v>250</v>
      </c>
      <c r="F29" s="45" t="s">
        <v>182</v>
      </c>
      <c r="G29" s="45" t="s">
        <v>461</v>
      </c>
      <c r="H29" s="45" t="s">
        <v>508</v>
      </c>
      <c r="I29" s="45" t="s">
        <v>565</v>
      </c>
      <c r="J29" s="45" t="s">
        <v>619</v>
      </c>
      <c r="K29" s="45" t="s">
        <v>506</v>
      </c>
    </row>
    <row r="30" spans="2:11" x14ac:dyDescent="0.25">
      <c r="B30" s="45" t="s">
        <v>287</v>
      </c>
      <c r="C30" s="45" t="s">
        <v>336</v>
      </c>
      <c r="D30" s="45" t="s">
        <v>218</v>
      </c>
      <c r="E30" s="45" t="s">
        <v>251</v>
      </c>
      <c r="F30" s="45" t="s">
        <v>183</v>
      </c>
      <c r="G30" s="45" t="s">
        <v>462</v>
      </c>
      <c r="H30" s="45" t="s">
        <v>509</v>
      </c>
      <c r="I30" s="45" t="s">
        <v>566</v>
      </c>
      <c r="J30" s="45" t="s">
        <v>177</v>
      </c>
      <c r="K30" s="45" t="s">
        <v>671</v>
      </c>
    </row>
    <row r="31" spans="2:11" x14ac:dyDescent="0.25">
      <c r="B31" s="45" t="s">
        <v>288</v>
      </c>
      <c r="C31" s="45" t="s">
        <v>337</v>
      </c>
      <c r="D31" s="45" t="s">
        <v>219</v>
      </c>
      <c r="E31" s="45" t="s">
        <v>252</v>
      </c>
      <c r="F31" s="45" t="s">
        <v>184</v>
      </c>
      <c r="G31" s="45" t="s">
        <v>463</v>
      </c>
      <c r="H31" s="45" t="s">
        <v>510</v>
      </c>
      <c r="I31" s="45" t="s">
        <v>567</v>
      </c>
      <c r="J31" s="45" t="s">
        <v>620</v>
      </c>
      <c r="K31" s="45" t="s">
        <v>672</v>
      </c>
    </row>
    <row r="32" spans="2:11" x14ac:dyDescent="0.25">
      <c r="B32" s="45" t="s">
        <v>289</v>
      </c>
      <c r="C32" s="45" t="s">
        <v>338</v>
      </c>
      <c r="D32" s="45" t="s">
        <v>220</v>
      </c>
      <c r="E32" s="45" t="s">
        <v>253</v>
      </c>
      <c r="F32" s="45" t="s">
        <v>185</v>
      </c>
      <c r="G32" s="45" t="s">
        <v>464</v>
      </c>
      <c r="H32" s="45" t="s">
        <v>511</v>
      </c>
      <c r="I32" s="45" t="s">
        <v>568</v>
      </c>
      <c r="J32" s="45" t="s">
        <v>621</v>
      </c>
      <c r="K32" s="45" t="s">
        <v>282</v>
      </c>
    </row>
    <row r="33" spans="2:11" x14ac:dyDescent="0.25">
      <c r="B33" s="45" t="s">
        <v>290</v>
      </c>
      <c r="C33" s="45" t="s">
        <v>339</v>
      </c>
      <c r="D33" s="45" t="s">
        <v>221</v>
      </c>
      <c r="E33" s="45" t="s">
        <v>254</v>
      </c>
      <c r="F33" s="45" t="s">
        <v>186</v>
      </c>
      <c r="G33" s="45" t="s">
        <v>465</v>
      </c>
      <c r="H33" s="45" t="s">
        <v>512</v>
      </c>
      <c r="I33" s="45" t="s">
        <v>569</v>
      </c>
      <c r="J33" s="45" t="s">
        <v>622</v>
      </c>
      <c r="K33" s="45" t="s">
        <v>673</v>
      </c>
    </row>
    <row r="34" spans="2:11" x14ac:dyDescent="0.25">
      <c r="B34" s="45" t="s">
        <v>291</v>
      </c>
      <c r="C34" s="45" t="s">
        <v>340</v>
      </c>
      <c r="D34" s="45" t="s">
        <v>222</v>
      </c>
      <c r="E34" s="45" t="s">
        <v>255</v>
      </c>
      <c r="F34" s="45" t="s">
        <v>187</v>
      </c>
      <c r="G34" s="45" t="s">
        <v>466</v>
      </c>
      <c r="H34" s="45" t="s">
        <v>513</v>
      </c>
      <c r="I34" s="45" t="s">
        <v>570</v>
      </c>
      <c r="J34" s="45" t="s">
        <v>623</v>
      </c>
      <c r="K34" s="45" t="s">
        <v>674</v>
      </c>
    </row>
    <row r="35" spans="2:11" x14ac:dyDescent="0.25">
      <c r="B35" s="45" t="s">
        <v>292</v>
      </c>
      <c r="C35" s="45" t="s">
        <v>341</v>
      </c>
      <c r="D35" s="45" t="s">
        <v>223</v>
      </c>
      <c r="E35" s="45" t="s">
        <v>256</v>
      </c>
      <c r="F35" s="45" t="s">
        <v>188</v>
      </c>
      <c r="G35" s="45" t="s">
        <v>467</v>
      </c>
      <c r="H35" s="45" t="s">
        <v>514</v>
      </c>
      <c r="I35" s="45" t="s">
        <v>571</v>
      </c>
      <c r="J35" s="45" t="s">
        <v>624</v>
      </c>
      <c r="K35" s="45" t="s">
        <v>675</v>
      </c>
    </row>
    <row r="36" spans="2:11" x14ac:dyDescent="0.25">
      <c r="B36" s="45" t="s">
        <v>293</v>
      </c>
      <c r="C36" s="45" t="s">
        <v>342</v>
      </c>
      <c r="D36" s="45" t="s">
        <v>224</v>
      </c>
      <c r="E36" s="45" t="s">
        <v>257</v>
      </c>
      <c r="F36" s="45" t="s">
        <v>189</v>
      </c>
      <c r="G36" s="45" t="s">
        <v>468</v>
      </c>
      <c r="H36" s="45" t="s">
        <v>515</v>
      </c>
      <c r="I36" s="45" t="s">
        <v>572</v>
      </c>
      <c r="J36" s="45" t="s">
        <v>625</v>
      </c>
      <c r="K36" s="45" t="s">
        <v>676</v>
      </c>
    </row>
    <row r="37" spans="2:11" x14ac:dyDescent="0.25">
      <c r="B37" s="45" t="s">
        <v>294</v>
      </c>
      <c r="C37" s="45" t="s">
        <v>343</v>
      </c>
      <c r="D37" s="45" t="s">
        <v>397</v>
      </c>
      <c r="E37" s="45" t="s">
        <v>258</v>
      </c>
      <c r="F37" s="45" t="s">
        <v>190</v>
      </c>
      <c r="G37" s="45" t="s">
        <v>469</v>
      </c>
      <c r="H37" s="45" t="s">
        <v>516</v>
      </c>
      <c r="I37" s="45" t="s">
        <v>573</v>
      </c>
      <c r="J37" s="45" t="s">
        <v>626</v>
      </c>
      <c r="K37" s="45" t="s">
        <v>677</v>
      </c>
    </row>
    <row r="38" spans="2:11" x14ac:dyDescent="0.25">
      <c r="B38" s="45" t="s">
        <v>295</v>
      </c>
      <c r="C38" s="45" t="s">
        <v>344</v>
      </c>
      <c r="D38" s="45" t="s">
        <v>398</v>
      </c>
      <c r="E38" s="45" t="s">
        <v>259</v>
      </c>
      <c r="F38" s="45" t="s">
        <v>191</v>
      </c>
      <c r="G38" s="45" t="s">
        <v>470</v>
      </c>
      <c r="H38" s="45" t="s">
        <v>517</v>
      </c>
      <c r="I38" s="45" t="s">
        <v>574</v>
      </c>
      <c r="J38" s="45" t="s">
        <v>627</v>
      </c>
      <c r="K38" s="45" t="s">
        <v>678</v>
      </c>
    </row>
    <row r="39" spans="2:11" x14ac:dyDescent="0.25">
      <c r="B39" s="45" t="s">
        <v>296</v>
      </c>
      <c r="C39" s="45" t="s">
        <v>345</v>
      </c>
      <c r="D39" s="45" t="s">
        <v>194</v>
      </c>
      <c r="E39" s="45" t="s">
        <v>260</v>
      </c>
      <c r="F39" s="45" t="s">
        <v>192</v>
      </c>
      <c r="G39" s="45" t="s">
        <v>471</v>
      </c>
      <c r="H39" s="45" t="s">
        <v>518</v>
      </c>
      <c r="I39" s="45" t="s">
        <v>575</v>
      </c>
      <c r="J39" s="45" t="s">
        <v>628</v>
      </c>
      <c r="K39" s="45" t="s">
        <v>679</v>
      </c>
    </row>
    <row r="40" spans="2:11" x14ac:dyDescent="0.25">
      <c r="B40" s="45" t="s">
        <v>297</v>
      </c>
      <c r="C40" s="45" t="s">
        <v>346</v>
      </c>
      <c r="D40" s="45" t="s">
        <v>753</v>
      </c>
      <c r="E40" s="45" t="s">
        <v>368</v>
      </c>
      <c r="G40" s="45" t="s">
        <v>472</v>
      </c>
      <c r="H40" s="45" t="s">
        <v>519</v>
      </c>
      <c r="I40" s="45" t="s">
        <v>576</v>
      </c>
      <c r="J40" s="45" t="s">
        <v>629</v>
      </c>
      <c r="K40" s="45" t="s">
        <v>680</v>
      </c>
    </row>
    <row r="41" spans="2:11" x14ac:dyDescent="0.25">
      <c r="B41" s="45" t="s">
        <v>298</v>
      </c>
      <c r="C41" s="45" t="s">
        <v>347</v>
      </c>
      <c r="D41" s="45" t="s">
        <v>400</v>
      </c>
      <c r="E41" s="45" t="s">
        <v>369</v>
      </c>
      <c r="G41" s="45" t="s">
        <v>473</v>
      </c>
      <c r="H41" s="45" t="s">
        <v>520</v>
      </c>
      <c r="I41" s="45" t="s">
        <v>577</v>
      </c>
      <c r="J41" s="45" t="s">
        <v>630</v>
      </c>
      <c r="K41" s="45" t="s">
        <v>681</v>
      </c>
    </row>
    <row r="42" spans="2:11" x14ac:dyDescent="0.25">
      <c r="B42" s="45" t="s">
        <v>299</v>
      </c>
      <c r="C42" s="45" t="s">
        <v>348</v>
      </c>
      <c r="D42" s="45" t="s">
        <v>401</v>
      </c>
      <c r="E42" s="45" t="s">
        <v>370</v>
      </c>
      <c r="G42" s="45" t="s">
        <v>474</v>
      </c>
      <c r="H42" s="45" t="s">
        <v>521</v>
      </c>
      <c r="I42" s="45" t="s">
        <v>578</v>
      </c>
      <c r="J42" s="45" t="s">
        <v>631</v>
      </c>
      <c r="K42" s="45" t="s">
        <v>682</v>
      </c>
    </row>
    <row r="43" spans="2:11" x14ac:dyDescent="0.25">
      <c r="B43" s="45" t="s">
        <v>300</v>
      </c>
      <c r="C43" s="45" t="s">
        <v>349</v>
      </c>
      <c r="D43" s="45" t="s">
        <v>402</v>
      </c>
      <c r="E43" s="45" t="s">
        <v>371</v>
      </c>
      <c r="G43" s="45" t="s">
        <v>475</v>
      </c>
      <c r="H43" s="45" t="s">
        <v>522</v>
      </c>
      <c r="I43" s="45" t="s">
        <v>579</v>
      </c>
      <c r="J43" s="45" t="s">
        <v>632</v>
      </c>
      <c r="K43" s="45" t="s">
        <v>683</v>
      </c>
    </row>
    <row r="44" spans="2:11" x14ac:dyDescent="0.25">
      <c r="B44" s="45" t="s">
        <v>301</v>
      </c>
      <c r="C44" s="45" t="s">
        <v>350</v>
      </c>
      <c r="D44" s="45" t="s">
        <v>403</v>
      </c>
      <c r="E44" s="45" t="s">
        <v>372</v>
      </c>
      <c r="G44" s="45" t="s">
        <v>476</v>
      </c>
      <c r="H44" s="45" t="s">
        <v>523</v>
      </c>
      <c r="I44" s="45" t="s">
        <v>580</v>
      </c>
      <c r="J44" s="45" t="s">
        <v>633</v>
      </c>
      <c r="K44" s="45" t="s">
        <v>684</v>
      </c>
    </row>
    <row r="45" spans="2:11" x14ac:dyDescent="0.25">
      <c r="B45" s="45" t="s">
        <v>302</v>
      </c>
      <c r="C45" s="45" t="s">
        <v>351</v>
      </c>
      <c r="D45" s="45" t="s">
        <v>404</v>
      </c>
      <c r="E45" s="45" t="s">
        <v>373</v>
      </c>
      <c r="G45" s="45" t="s">
        <v>477</v>
      </c>
      <c r="H45" s="45" t="s">
        <v>524</v>
      </c>
      <c r="I45" s="45" t="s">
        <v>581</v>
      </c>
      <c r="J45" s="45" t="s">
        <v>634</v>
      </c>
      <c r="K45" s="45" t="s">
        <v>685</v>
      </c>
    </row>
    <row r="46" spans="2:11" x14ac:dyDescent="0.25">
      <c r="B46" s="45" t="s">
        <v>303</v>
      </c>
      <c r="C46" s="45" t="s">
        <v>352</v>
      </c>
      <c r="D46" s="45" t="s">
        <v>405</v>
      </c>
      <c r="E46" s="45" t="s">
        <v>374</v>
      </c>
      <c r="G46" s="45" t="s">
        <v>478</v>
      </c>
      <c r="H46" s="45" t="s">
        <v>525</v>
      </c>
      <c r="I46" s="45" t="s">
        <v>582</v>
      </c>
      <c r="J46" s="45" t="s">
        <v>635</v>
      </c>
      <c r="K46" s="45" t="s">
        <v>686</v>
      </c>
    </row>
    <row r="47" spans="2:11" x14ac:dyDescent="0.25">
      <c r="B47" s="45" t="s">
        <v>304</v>
      </c>
      <c r="C47" s="45" t="s">
        <v>353</v>
      </c>
      <c r="D47" s="45" t="s">
        <v>406</v>
      </c>
      <c r="E47" s="45" t="s">
        <v>375</v>
      </c>
      <c r="G47" s="45" t="s">
        <v>479</v>
      </c>
      <c r="H47" s="45" t="s">
        <v>526</v>
      </c>
      <c r="I47" s="45" t="s">
        <v>583</v>
      </c>
      <c r="J47" s="45" t="s">
        <v>636</v>
      </c>
      <c r="K47" s="45" t="s">
        <v>687</v>
      </c>
    </row>
    <row r="48" spans="2:11" x14ac:dyDescent="0.25">
      <c r="B48" s="45" t="s">
        <v>305</v>
      </c>
      <c r="C48" s="45" t="s">
        <v>354</v>
      </c>
      <c r="D48" s="45" t="s">
        <v>407</v>
      </c>
      <c r="E48" s="45" t="s">
        <v>376</v>
      </c>
      <c r="G48" s="45" t="s">
        <v>480</v>
      </c>
      <c r="H48" s="45" t="s">
        <v>527</v>
      </c>
      <c r="I48" s="45" t="s">
        <v>584</v>
      </c>
      <c r="J48" s="45" t="s">
        <v>637</v>
      </c>
      <c r="K48" s="45" t="s">
        <v>688</v>
      </c>
    </row>
    <row r="49" spans="2:11" x14ac:dyDescent="0.25">
      <c r="B49" s="45" t="s">
        <v>306</v>
      </c>
      <c r="C49" s="45" t="s">
        <v>355</v>
      </c>
      <c r="D49" s="45" t="s">
        <v>408</v>
      </c>
      <c r="E49" s="45" t="s">
        <v>377</v>
      </c>
      <c r="G49" s="45" t="s">
        <v>481</v>
      </c>
      <c r="H49" s="45" t="s">
        <v>528</v>
      </c>
      <c r="I49" s="45" t="s">
        <v>585</v>
      </c>
      <c r="J49" s="45" t="s">
        <v>638</v>
      </c>
      <c r="K49" s="45" t="s">
        <v>689</v>
      </c>
    </row>
    <row r="50" spans="2:11" x14ac:dyDescent="0.25">
      <c r="B50" s="45" t="s">
        <v>307</v>
      </c>
      <c r="C50" s="45" t="s">
        <v>356</v>
      </c>
      <c r="D50" s="45" t="s">
        <v>409</v>
      </c>
      <c r="E50" s="45" t="s">
        <v>325</v>
      </c>
      <c r="G50" s="45" t="s">
        <v>482</v>
      </c>
      <c r="H50" s="45" t="s">
        <v>529</v>
      </c>
      <c r="I50" s="45" t="s">
        <v>586</v>
      </c>
      <c r="J50" s="45" t="s">
        <v>639</v>
      </c>
      <c r="K50" s="45" t="s">
        <v>690</v>
      </c>
    </row>
    <row r="51" spans="2:11" x14ac:dyDescent="0.25">
      <c r="B51" s="45" t="s">
        <v>308</v>
      </c>
      <c r="C51" s="45" t="s">
        <v>357</v>
      </c>
      <c r="D51" s="45" t="s">
        <v>410</v>
      </c>
      <c r="E51" s="45" t="s">
        <v>378</v>
      </c>
      <c r="G51" s="45" t="s">
        <v>346</v>
      </c>
      <c r="H51" s="45" t="s">
        <v>530</v>
      </c>
      <c r="I51" s="45" t="s">
        <v>587</v>
      </c>
      <c r="J51" s="45" t="s">
        <v>640</v>
      </c>
      <c r="K51" s="45" t="s">
        <v>691</v>
      </c>
    </row>
    <row r="52" spans="2:11" x14ac:dyDescent="0.25">
      <c r="B52" s="45" t="s">
        <v>309</v>
      </c>
      <c r="C52" s="45" t="s">
        <v>358</v>
      </c>
      <c r="D52" s="45" t="s">
        <v>411</v>
      </c>
      <c r="E52" s="45" t="s">
        <v>379</v>
      </c>
      <c r="H52" s="45" t="s">
        <v>531</v>
      </c>
      <c r="I52" s="45" t="s">
        <v>588</v>
      </c>
      <c r="J52" s="45" t="s">
        <v>641</v>
      </c>
      <c r="K52" s="45" t="s">
        <v>692</v>
      </c>
    </row>
    <row r="53" spans="2:11" x14ac:dyDescent="0.25">
      <c r="B53" s="45" t="s">
        <v>310</v>
      </c>
      <c r="C53" s="45" t="s">
        <v>359</v>
      </c>
      <c r="D53" s="45" t="s">
        <v>412</v>
      </c>
      <c r="E53" s="45" t="s">
        <v>380</v>
      </c>
      <c r="H53" s="45" t="s">
        <v>532</v>
      </c>
      <c r="I53" s="45" t="s">
        <v>589</v>
      </c>
      <c r="J53" s="45" t="s">
        <v>642</v>
      </c>
      <c r="K53" s="45" t="s">
        <v>693</v>
      </c>
    </row>
    <row r="54" spans="2:11" x14ac:dyDescent="0.25">
      <c r="C54" s="45" t="s">
        <v>360</v>
      </c>
      <c r="D54" s="45" t="s">
        <v>413</v>
      </c>
      <c r="E54" s="45" t="s">
        <v>243</v>
      </c>
      <c r="H54" s="45" t="s">
        <v>533</v>
      </c>
      <c r="I54" s="45" t="s">
        <v>590</v>
      </c>
      <c r="J54" s="45" t="s">
        <v>643</v>
      </c>
      <c r="K54" s="45" t="s">
        <v>694</v>
      </c>
    </row>
    <row r="55" spans="2:11" x14ac:dyDescent="0.25">
      <c r="C55" s="45" t="s">
        <v>361</v>
      </c>
      <c r="D55" s="45" t="s">
        <v>414</v>
      </c>
      <c r="E55" s="45" t="s">
        <v>381</v>
      </c>
      <c r="H55" s="45" t="s">
        <v>534</v>
      </c>
      <c r="I55" s="45" t="s">
        <v>591</v>
      </c>
      <c r="J55" s="45" t="s">
        <v>644</v>
      </c>
      <c r="K55" s="45" t="s">
        <v>695</v>
      </c>
    </row>
    <row r="56" spans="2:11" x14ac:dyDescent="0.25">
      <c r="C56" s="45" t="s">
        <v>362</v>
      </c>
      <c r="D56" s="45" t="s">
        <v>415</v>
      </c>
      <c r="E56" s="45" t="s">
        <v>382</v>
      </c>
      <c r="H56" s="45" t="s">
        <v>535</v>
      </c>
      <c r="I56" s="45" t="s">
        <v>592</v>
      </c>
      <c r="J56" s="45" t="s">
        <v>645</v>
      </c>
    </row>
    <row r="57" spans="2:11" x14ac:dyDescent="0.25">
      <c r="C57" s="45" t="s">
        <v>363</v>
      </c>
      <c r="D57" s="45" t="s">
        <v>416</v>
      </c>
      <c r="E57" s="45" t="s">
        <v>383</v>
      </c>
      <c r="H57" s="45" t="s">
        <v>536</v>
      </c>
      <c r="I57" s="45" t="s">
        <v>593</v>
      </c>
      <c r="J57" s="45" t="s">
        <v>646</v>
      </c>
    </row>
    <row r="58" spans="2:11" x14ac:dyDescent="0.25">
      <c r="C58" s="45" t="s">
        <v>364</v>
      </c>
      <c r="D58" s="45" t="s">
        <v>417</v>
      </c>
      <c r="E58" s="45" t="s">
        <v>384</v>
      </c>
      <c r="H58" s="45" t="s">
        <v>537</v>
      </c>
      <c r="I58" s="45" t="s">
        <v>594</v>
      </c>
    </row>
    <row r="59" spans="2:11" x14ac:dyDescent="0.25">
      <c r="C59" s="45" t="s">
        <v>365</v>
      </c>
      <c r="D59" s="45" t="s">
        <v>418</v>
      </c>
      <c r="E59" s="45" t="s">
        <v>385</v>
      </c>
      <c r="H59" s="45" t="s">
        <v>538</v>
      </c>
    </row>
    <row r="60" spans="2:11" x14ac:dyDescent="0.25">
      <c r="C60" s="45" t="s">
        <v>366</v>
      </c>
      <c r="D60" s="45" t="s">
        <v>419</v>
      </c>
      <c r="E60" s="45" t="s">
        <v>386</v>
      </c>
      <c r="H60" s="45" t="s">
        <v>511</v>
      </c>
    </row>
    <row r="61" spans="2:11" x14ac:dyDescent="0.25">
      <c r="C61" s="45" t="s">
        <v>367</v>
      </c>
      <c r="D61" s="45" t="s">
        <v>420</v>
      </c>
      <c r="E61" s="45" t="s">
        <v>387</v>
      </c>
      <c r="H61" s="45" t="s">
        <v>539</v>
      </c>
    </row>
    <row r="62" spans="2:11" x14ac:dyDescent="0.25">
      <c r="D62" s="45" t="s">
        <v>421</v>
      </c>
      <c r="E62" s="45" t="s">
        <v>388</v>
      </c>
    </row>
    <row r="63" spans="2:11" x14ac:dyDescent="0.25">
      <c r="D63" s="45" t="s">
        <v>422</v>
      </c>
      <c r="E63" s="45" t="s">
        <v>389</v>
      </c>
    </row>
    <row r="64" spans="2:11" x14ac:dyDescent="0.25">
      <c r="D64" s="45" t="s">
        <v>423</v>
      </c>
      <c r="E64" s="45" t="s">
        <v>390</v>
      </c>
    </row>
    <row r="65" spans="4:5" x14ac:dyDescent="0.25">
      <c r="D65" s="45" t="s">
        <v>424</v>
      </c>
      <c r="E65" s="45" t="s">
        <v>391</v>
      </c>
    </row>
    <row r="66" spans="4:5" x14ac:dyDescent="0.25">
      <c r="D66" s="45" t="s">
        <v>425</v>
      </c>
      <c r="E66" s="45" t="s">
        <v>392</v>
      </c>
    </row>
    <row r="67" spans="4:5" x14ac:dyDescent="0.25">
      <c r="D67" s="45" t="s">
        <v>426</v>
      </c>
      <c r="E67" s="45" t="s">
        <v>393</v>
      </c>
    </row>
    <row r="68" spans="4:5" x14ac:dyDescent="0.25">
      <c r="D68" s="45" t="s">
        <v>427</v>
      </c>
      <c r="E68" s="45" t="s">
        <v>394</v>
      </c>
    </row>
    <row r="69" spans="4:5" x14ac:dyDescent="0.25">
      <c r="D69" s="45" t="s">
        <v>428</v>
      </c>
      <c r="E69" s="45" t="s">
        <v>395</v>
      </c>
    </row>
    <row r="70" spans="4:5" x14ac:dyDescent="0.25">
      <c r="D70" s="45" t="s">
        <v>429</v>
      </c>
      <c r="E70" s="45" t="s">
        <v>396</v>
      </c>
    </row>
    <row r="71" spans="4:5" x14ac:dyDescent="0.25">
      <c r="D71" s="45" t="s">
        <v>430</v>
      </c>
      <c r="E71"/>
    </row>
    <row r="72" spans="4:5" x14ac:dyDescent="0.25">
      <c r="D72" s="45" t="s">
        <v>431</v>
      </c>
      <c r="E72"/>
    </row>
    <row r="73" spans="4:5" x14ac:dyDescent="0.25">
      <c r="D73" s="45" t="s">
        <v>432</v>
      </c>
    </row>
    <row r="74" spans="4:5" x14ac:dyDescent="0.25">
      <c r="D74" s="45" t="s">
        <v>433</v>
      </c>
    </row>
    <row r="75" spans="4:5" x14ac:dyDescent="0.25">
      <c r="D75" s="45" t="s">
        <v>434</v>
      </c>
    </row>
    <row r="76" spans="4:5" x14ac:dyDescent="0.25">
      <c r="D76" s="45" t="s">
        <v>435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6776-0BD7-4A14-9B17-071D2484B8EE}">
  <dimension ref="A1:M61"/>
  <sheetViews>
    <sheetView workbookViewId="0">
      <selection activeCell="L4" sqref="L4"/>
    </sheetView>
  </sheetViews>
  <sheetFormatPr defaultRowHeight="15" x14ac:dyDescent="0.25"/>
  <cols>
    <col min="1" max="1" width="14.42578125" style="42" customWidth="1"/>
    <col min="2" max="13" width="17.5703125" style="42" customWidth="1"/>
    <col min="14" max="16384" width="9.140625" style="42"/>
  </cols>
  <sheetData>
    <row r="1" spans="1:13" ht="20.25" customHeight="1" x14ac:dyDescent="0.25">
      <c r="A1" s="44" t="s">
        <v>155</v>
      </c>
    </row>
    <row r="3" spans="1:13" ht="18" customHeight="1" x14ac:dyDescent="0.25">
      <c r="A3" s="41" t="s">
        <v>60</v>
      </c>
      <c r="B3" s="43" t="s">
        <v>7</v>
      </c>
      <c r="C3" s="43" t="s">
        <v>9</v>
      </c>
      <c r="D3" s="43" t="s">
        <v>12</v>
      </c>
      <c r="E3" s="43" t="s">
        <v>14</v>
      </c>
      <c r="F3" s="43" t="s">
        <v>16</v>
      </c>
      <c r="G3" s="43" t="s">
        <v>18</v>
      </c>
      <c r="H3" s="43" t="s">
        <v>10</v>
      </c>
      <c r="I3" s="43" t="s">
        <v>21</v>
      </c>
      <c r="J3" s="43" t="s">
        <v>23</v>
      </c>
      <c r="K3" s="43" t="s">
        <v>25</v>
      </c>
      <c r="L3" s="43" t="s">
        <v>27</v>
      </c>
      <c r="M3" s="43" t="s">
        <v>29</v>
      </c>
    </row>
    <row r="4" spans="1:13" x14ac:dyDescent="0.25">
      <c r="A4" s="42" t="s">
        <v>7</v>
      </c>
      <c r="B4" s="45" t="s">
        <v>157</v>
      </c>
      <c r="C4" s="45" t="s">
        <v>193</v>
      </c>
      <c r="D4" s="45" t="s">
        <v>225</v>
      </c>
      <c r="E4" s="45" t="s">
        <v>261</v>
      </c>
      <c r="F4" s="45" t="s">
        <v>311</v>
      </c>
      <c r="G4" s="45" t="s">
        <v>368</v>
      </c>
      <c r="H4" s="45" t="s">
        <v>397</v>
      </c>
      <c r="I4" s="45" t="s">
        <v>436</v>
      </c>
      <c r="J4" s="45" t="s">
        <v>483</v>
      </c>
      <c r="K4" s="45" t="s">
        <v>540</v>
      </c>
      <c r="L4" s="45" t="s">
        <v>754</v>
      </c>
      <c r="M4" s="45" t="s">
        <v>647</v>
      </c>
    </row>
    <row r="5" spans="1:13" x14ac:dyDescent="0.25">
      <c r="A5" s="42" t="s">
        <v>9</v>
      </c>
      <c r="B5" s="45" t="s">
        <v>158</v>
      </c>
      <c r="C5" s="45" t="s">
        <v>194</v>
      </c>
      <c r="D5" s="45" t="s">
        <v>226</v>
      </c>
      <c r="E5" s="45" t="s">
        <v>262</v>
      </c>
      <c r="F5" s="45" t="s">
        <v>312</v>
      </c>
      <c r="G5" s="45" t="s">
        <v>369</v>
      </c>
      <c r="H5" s="45" t="s">
        <v>398</v>
      </c>
      <c r="I5" s="45" t="s">
        <v>437</v>
      </c>
      <c r="J5" s="45" t="s">
        <v>484</v>
      </c>
      <c r="K5" s="45" t="s">
        <v>541</v>
      </c>
      <c r="L5" s="45" t="s">
        <v>595</v>
      </c>
      <c r="M5" s="45" t="s">
        <v>648</v>
      </c>
    </row>
    <row r="6" spans="1:13" x14ac:dyDescent="0.25">
      <c r="A6" s="42" t="s">
        <v>12</v>
      </c>
      <c r="B6" s="45" t="s">
        <v>159</v>
      </c>
      <c r="C6" s="45" t="s">
        <v>752</v>
      </c>
      <c r="D6" s="45" t="s">
        <v>227</v>
      </c>
      <c r="E6" s="45" t="s">
        <v>263</v>
      </c>
      <c r="F6" s="45" t="s">
        <v>313</v>
      </c>
      <c r="G6" s="45" t="s">
        <v>370</v>
      </c>
      <c r="H6" s="45" t="s">
        <v>194</v>
      </c>
      <c r="I6" s="45" t="s">
        <v>438</v>
      </c>
      <c r="J6" s="45" t="s">
        <v>485</v>
      </c>
      <c r="K6" s="45" t="s">
        <v>542</v>
      </c>
      <c r="L6" s="45" t="s">
        <v>596</v>
      </c>
      <c r="M6" s="45" t="s">
        <v>649</v>
      </c>
    </row>
    <row r="7" spans="1:13" x14ac:dyDescent="0.25">
      <c r="A7" s="42" t="s">
        <v>14</v>
      </c>
      <c r="B7" s="45" t="s">
        <v>160</v>
      </c>
      <c r="C7" s="45" t="s">
        <v>195</v>
      </c>
      <c r="D7" s="45" t="s">
        <v>228</v>
      </c>
      <c r="E7" s="45" t="s">
        <v>264</v>
      </c>
      <c r="F7" s="45" t="s">
        <v>314</v>
      </c>
      <c r="G7" s="45" t="s">
        <v>371</v>
      </c>
      <c r="H7" s="45" t="s">
        <v>753</v>
      </c>
      <c r="I7" s="45" t="s">
        <v>439</v>
      </c>
      <c r="J7" s="45" t="s">
        <v>486</v>
      </c>
      <c r="K7" s="45" t="s">
        <v>543</v>
      </c>
      <c r="L7" s="45" t="s">
        <v>597</v>
      </c>
      <c r="M7" s="45" t="s">
        <v>650</v>
      </c>
    </row>
    <row r="8" spans="1:13" x14ac:dyDescent="0.25">
      <c r="A8" s="42" t="s">
        <v>16</v>
      </c>
      <c r="B8" s="45" t="s">
        <v>161</v>
      </c>
      <c r="C8" s="45" t="s">
        <v>196</v>
      </c>
      <c r="D8" s="45" t="s">
        <v>229</v>
      </c>
      <c r="E8" s="45" t="s">
        <v>265</v>
      </c>
      <c r="F8" s="45" t="s">
        <v>315</v>
      </c>
      <c r="G8" s="45" t="s">
        <v>372</v>
      </c>
      <c r="H8" s="45" t="s">
        <v>400</v>
      </c>
      <c r="I8" s="45" t="s">
        <v>440</v>
      </c>
      <c r="J8" s="45" t="s">
        <v>487</v>
      </c>
      <c r="K8" s="45" t="s">
        <v>544</v>
      </c>
      <c r="L8" s="45" t="s">
        <v>598</v>
      </c>
      <c r="M8" s="45" t="s">
        <v>651</v>
      </c>
    </row>
    <row r="9" spans="1:13" x14ac:dyDescent="0.25">
      <c r="A9" s="42" t="s">
        <v>18</v>
      </c>
      <c r="B9" s="45" t="s">
        <v>162</v>
      </c>
      <c r="C9" s="45" t="s">
        <v>197</v>
      </c>
      <c r="D9" s="45" t="s">
        <v>230</v>
      </c>
      <c r="E9" s="45" t="s">
        <v>266</v>
      </c>
      <c r="F9" s="45" t="s">
        <v>316</v>
      </c>
      <c r="G9" s="45" t="s">
        <v>373</v>
      </c>
      <c r="H9" s="45" t="s">
        <v>401</v>
      </c>
      <c r="I9" s="45" t="s">
        <v>441</v>
      </c>
      <c r="J9" s="45" t="s">
        <v>488</v>
      </c>
      <c r="K9" s="45" t="s">
        <v>545</v>
      </c>
      <c r="L9" s="45" t="s">
        <v>599</v>
      </c>
      <c r="M9" s="45" t="s">
        <v>439</v>
      </c>
    </row>
    <row r="10" spans="1:13" x14ac:dyDescent="0.25">
      <c r="A10" s="42" t="s">
        <v>10</v>
      </c>
      <c r="B10" s="45" t="s">
        <v>163</v>
      </c>
      <c r="C10" s="45" t="s">
        <v>198</v>
      </c>
      <c r="D10" s="45" t="s">
        <v>231</v>
      </c>
      <c r="E10" s="45" t="s">
        <v>267</v>
      </c>
      <c r="F10" s="45" t="s">
        <v>317</v>
      </c>
      <c r="G10" s="45" t="s">
        <v>374</v>
      </c>
      <c r="H10" s="45" t="s">
        <v>402</v>
      </c>
      <c r="I10" s="45" t="s">
        <v>442</v>
      </c>
      <c r="J10" s="45" t="s">
        <v>489</v>
      </c>
      <c r="K10" s="45" t="s">
        <v>546</v>
      </c>
      <c r="L10" s="45" t="s">
        <v>600</v>
      </c>
      <c r="M10" s="45" t="s">
        <v>652</v>
      </c>
    </row>
    <row r="11" spans="1:13" x14ac:dyDescent="0.25">
      <c r="A11" s="42" t="s">
        <v>21</v>
      </c>
      <c r="B11" s="45" t="s">
        <v>164</v>
      </c>
      <c r="C11" s="45" t="s">
        <v>199</v>
      </c>
      <c r="D11" s="45" t="s">
        <v>232</v>
      </c>
      <c r="E11" s="45" t="s">
        <v>268</v>
      </c>
      <c r="F11" s="45" t="s">
        <v>166</v>
      </c>
      <c r="G11" s="45" t="s">
        <v>375</v>
      </c>
      <c r="H11" s="45" t="s">
        <v>403</v>
      </c>
      <c r="I11" s="45" t="s">
        <v>443</v>
      </c>
      <c r="J11" s="45" t="s">
        <v>490</v>
      </c>
      <c r="K11" s="45" t="s">
        <v>547</v>
      </c>
      <c r="L11" s="45" t="s">
        <v>601</v>
      </c>
      <c r="M11" s="45" t="s">
        <v>653</v>
      </c>
    </row>
    <row r="12" spans="1:13" x14ac:dyDescent="0.25">
      <c r="A12" s="42" t="s">
        <v>23</v>
      </c>
      <c r="B12" s="45" t="s">
        <v>165</v>
      </c>
      <c r="C12" s="45" t="s">
        <v>200</v>
      </c>
      <c r="D12" s="45" t="s">
        <v>233</v>
      </c>
      <c r="E12" s="45" t="s">
        <v>269</v>
      </c>
      <c r="F12" s="45" t="s">
        <v>318</v>
      </c>
      <c r="G12" s="45" t="s">
        <v>376</v>
      </c>
      <c r="H12" s="45" t="s">
        <v>404</v>
      </c>
      <c r="I12" s="45" t="s">
        <v>444</v>
      </c>
      <c r="J12" s="45" t="s">
        <v>491</v>
      </c>
      <c r="K12" s="45" t="s">
        <v>548</v>
      </c>
      <c r="L12" s="45" t="s">
        <v>602</v>
      </c>
      <c r="M12" s="45" t="s">
        <v>654</v>
      </c>
    </row>
    <row r="13" spans="1:13" x14ac:dyDescent="0.25">
      <c r="A13" s="42" t="s">
        <v>25</v>
      </c>
      <c r="B13" s="45" t="s">
        <v>166</v>
      </c>
      <c r="C13" s="45" t="s">
        <v>201</v>
      </c>
      <c r="D13" s="45" t="s">
        <v>234</v>
      </c>
      <c r="E13" s="45" t="s">
        <v>270</v>
      </c>
      <c r="F13" s="45" t="s">
        <v>319</v>
      </c>
      <c r="G13" s="45" t="s">
        <v>377</v>
      </c>
      <c r="H13" s="45" t="s">
        <v>405</v>
      </c>
      <c r="I13" s="45" t="s">
        <v>445</v>
      </c>
      <c r="J13" s="45" t="s">
        <v>492</v>
      </c>
      <c r="K13" s="45" t="s">
        <v>549</v>
      </c>
      <c r="L13" s="45" t="s">
        <v>603</v>
      </c>
      <c r="M13" s="45" t="s">
        <v>655</v>
      </c>
    </row>
    <row r="14" spans="1:13" x14ac:dyDescent="0.25">
      <c r="A14" s="42" t="s">
        <v>27</v>
      </c>
      <c r="B14" s="45" t="s">
        <v>167</v>
      </c>
      <c r="C14" s="45" t="s">
        <v>202</v>
      </c>
      <c r="D14" s="45" t="s">
        <v>235</v>
      </c>
      <c r="E14" s="45" t="s">
        <v>271</v>
      </c>
      <c r="F14" s="45" t="s">
        <v>320</v>
      </c>
      <c r="G14" s="45" t="s">
        <v>325</v>
      </c>
      <c r="H14" s="45" t="s">
        <v>406</v>
      </c>
      <c r="I14" s="45" t="s">
        <v>446</v>
      </c>
      <c r="J14" s="45" t="s">
        <v>493</v>
      </c>
      <c r="K14" s="45" t="s">
        <v>550</v>
      </c>
      <c r="L14" s="45" t="s">
        <v>604</v>
      </c>
      <c r="M14" s="45" t="s">
        <v>656</v>
      </c>
    </row>
    <row r="15" spans="1:13" x14ac:dyDescent="0.25">
      <c r="A15" s="42" t="s">
        <v>29</v>
      </c>
      <c r="B15" s="45" t="s">
        <v>168</v>
      </c>
      <c r="C15" s="45" t="s">
        <v>203</v>
      </c>
      <c r="D15" s="45" t="s">
        <v>236</v>
      </c>
      <c r="E15" s="45" t="s">
        <v>272</v>
      </c>
      <c r="F15" s="45" t="s">
        <v>321</v>
      </c>
      <c r="G15" s="45" t="s">
        <v>378</v>
      </c>
      <c r="H15" s="45" t="s">
        <v>407</v>
      </c>
      <c r="I15" s="45" t="s">
        <v>447</v>
      </c>
      <c r="J15" s="45" t="s">
        <v>494</v>
      </c>
      <c r="K15" s="45" t="s">
        <v>551</v>
      </c>
      <c r="L15" s="45" t="s">
        <v>605</v>
      </c>
      <c r="M15" s="45" t="s">
        <v>657</v>
      </c>
    </row>
    <row r="16" spans="1:13" x14ac:dyDescent="0.25">
      <c r="B16" s="45" t="s">
        <v>169</v>
      </c>
      <c r="C16" s="45" t="s">
        <v>204</v>
      </c>
      <c r="D16" s="45" t="s">
        <v>237</v>
      </c>
      <c r="E16" s="45" t="s">
        <v>273</v>
      </c>
      <c r="F16" s="45" t="s">
        <v>322</v>
      </c>
      <c r="G16" s="45" t="s">
        <v>379</v>
      </c>
      <c r="H16" s="45" t="s">
        <v>408</v>
      </c>
      <c r="I16" s="45" t="s">
        <v>448</v>
      </c>
      <c r="J16" s="45" t="s">
        <v>495</v>
      </c>
      <c r="K16" s="45" t="s">
        <v>552</v>
      </c>
      <c r="L16" s="45" t="s">
        <v>606</v>
      </c>
      <c r="M16" s="45" t="s">
        <v>658</v>
      </c>
    </row>
    <row r="17" spans="2:13" x14ac:dyDescent="0.25">
      <c r="B17" s="45" t="s">
        <v>170</v>
      </c>
      <c r="C17" s="45" t="s">
        <v>205</v>
      </c>
      <c r="D17" s="45" t="s">
        <v>238</v>
      </c>
      <c r="E17" s="45" t="s">
        <v>274</v>
      </c>
      <c r="F17" s="45" t="s">
        <v>323</v>
      </c>
      <c r="G17" s="45" t="s">
        <v>380</v>
      </c>
      <c r="H17" s="45" t="s">
        <v>409</v>
      </c>
      <c r="I17" s="45" t="s">
        <v>449</v>
      </c>
      <c r="J17" s="45" t="s">
        <v>496</v>
      </c>
      <c r="K17" s="45" t="s">
        <v>553</v>
      </c>
      <c r="L17" s="45" t="s">
        <v>607</v>
      </c>
      <c r="M17" s="45" t="s">
        <v>659</v>
      </c>
    </row>
    <row r="18" spans="2:13" x14ac:dyDescent="0.25">
      <c r="B18" s="45" t="s">
        <v>171</v>
      </c>
      <c r="C18" s="45" t="s">
        <v>206</v>
      </c>
      <c r="D18" s="45" t="s">
        <v>239</v>
      </c>
      <c r="E18" s="45" t="s">
        <v>275</v>
      </c>
      <c r="F18" s="45" t="s">
        <v>324</v>
      </c>
      <c r="G18" s="45" t="s">
        <v>243</v>
      </c>
      <c r="H18" s="45" t="s">
        <v>410</v>
      </c>
      <c r="I18" s="45" t="s">
        <v>450</v>
      </c>
      <c r="J18" s="45" t="s">
        <v>497</v>
      </c>
      <c r="K18" s="45" t="s">
        <v>554</v>
      </c>
      <c r="L18" s="45" t="s">
        <v>608</v>
      </c>
      <c r="M18" s="45" t="s">
        <v>660</v>
      </c>
    </row>
    <row r="19" spans="2:13" x14ac:dyDescent="0.25">
      <c r="B19" s="45" t="s">
        <v>172</v>
      </c>
      <c r="C19" s="45" t="s">
        <v>207</v>
      </c>
      <c r="D19" s="45" t="s">
        <v>240</v>
      </c>
      <c r="E19" s="45" t="s">
        <v>276</v>
      </c>
      <c r="F19" s="45" t="s">
        <v>325</v>
      </c>
      <c r="G19" s="45" t="s">
        <v>381</v>
      </c>
      <c r="H19" s="45" t="s">
        <v>411</v>
      </c>
      <c r="I19" s="45" t="s">
        <v>451</v>
      </c>
      <c r="J19" s="45" t="s">
        <v>498</v>
      </c>
      <c r="K19" s="45" t="s">
        <v>555</v>
      </c>
      <c r="L19" s="45" t="s">
        <v>609</v>
      </c>
      <c r="M19" s="45" t="s">
        <v>661</v>
      </c>
    </row>
    <row r="20" spans="2:13" x14ac:dyDescent="0.25">
      <c r="B20" s="45" t="s">
        <v>173</v>
      </c>
      <c r="C20" s="45" t="s">
        <v>208</v>
      </c>
      <c r="D20" s="45" t="s">
        <v>241</v>
      </c>
      <c r="E20" s="45" t="s">
        <v>277</v>
      </c>
      <c r="F20" s="45" t="s">
        <v>326</v>
      </c>
      <c r="G20" s="45" t="s">
        <v>382</v>
      </c>
      <c r="H20" s="45" t="s">
        <v>412</v>
      </c>
      <c r="I20" s="45" t="s">
        <v>452</v>
      </c>
      <c r="J20" s="45" t="s">
        <v>499</v>
      </c>
      <c r="K20" s="45" t="s">
        <v>556</v>
      </c>
      <c r="L20" s="45" t="s">
        <v>610</v>
      </c>
      <c r="M20" s="45" t="s">
        <v>662</v>
      </c>
    </row>
    <row r="21" spans="2:13" x14ac:dyDescent="0.25">
      <c r="B21" s="45" t="s">
        <v>174</v>
      </c>
      <c r="C21" s="45" t="s">
        <v>209</v>
      </c>
      <c r="D21" s="45" t="s">
        <v>242</v>
      </c>
      <c r="E21" s="45" t="s">
        <v>278</v>
      </c>
      <c r="F21" s="45" t="s">
        <v>327</v>
      </c>
      <c r="G21" s="45" t="s">
        <v>383</v>
      </c>
      <c r="H21" s="45" t="s">
        <v>413</v>
      </c>
      <c r="I21" s="45" t="s">
        <v>453</v>
      </c>
      <c r="J21" s="45" t="s">
        <v>500</v>
      </c>
      <c r="K21" s="45" t="s">
        <v>557</v>
      </c>
      <c r="L21" s="45" t="s">
        <v>611</v>
      </c>
      <c r="M21" s="45" t="s">
        <v>663</v>
      </c>
    </row>
    <row r="22" spans="2:13" x14ac:dyDescent="0.25">
      <c r="B22" s="45" t="s">
        <v>175</v>
      </c>
      <c r="C22" s="45" t="s">
        <v>210</v>
      </c>
      <c r="D22" s="45" t="s">
        <v>243</v>
      </c>
      <c r="E22" s="45" t="s">
        <v>279</v>
      </c>
      <c r="F22" s="45" t="s">
        <v>328</v>
      </c>
      <c r="G22" s="45" t="s">
        <v>384</v>
      </c>
      <c r="H22" s="45" t="s">
        <v>414</v>
      </c>
      <c r="I22" s="45" t="s">
        <v>454</v>
      </c>
      <c r="J22" s="45" t="s">
        <v>501</v>
      </c>
      <c r="K22" s="45" t="s">
        <v>558</v>
      </c>
      <c r="L22" s="45" t="s">
        <v>612</v>
      </c>
      <c r="M22" s="45" t="s">
        <v>664</v>
      </c>
    </row>
    <row r="23" spans="2:13" x14ac:dyDescent="0.25">
      <c r="B23" s="45" t="s">
        <v>176</v>
      </c>
      <c r="C23" s="45" t="s">
        <v>211</v>
      </c>
      <c r="D23" s="45" t="s">
        <v>244</v>
      </c>
      <c r="E23" s="45" t="s">
        <v>280</v>
      </c>
      <c r="F23" s="45" t="s">
        <v>329</v>
      </c>
      <c r="G23" s="45" t="s">
        <v>385</v>
      </c>
      <c r="H23" s="45" t="s">
        <v>415</v>
      </c>
      <c r="I23" s="45" t="s">
        <v>455</v>
      </c>
      <c r="J23" s="45" t="s">
        <v>502</v>
      </c>
      <c r="K23" s="45" t="s">
        <v>559</v>
      </c>
      <c r="L23" s="45" t="s">
        <v>613</v>
      </c>
      <c r="M23" s="45" t="s">
        <v>665</v>
      </c>
    </row>
    <row r="24" spans="2:13" x14ac:dyDescent="0.25">
      <c r="B24" s="45" t="s">
        <v>177</v>
      </c>
      <c r="C24" s="45" t="s">
        <v>212</v>
      </c>
      <c r="D24" s="45" t="s">
        <v>245</v>
      </c>
      <c r="E24" s="45" t="s">
        <v>281</v>
      </c>
      <c r="F24" s="45" t="s">
        <v>330</v>
      </c>
      <c r="G24" s="45" t="s">
        <v>386</v>
      </c>
      <c r="H24" s="45" t="s">
        <v>416</v>
      </c>
      <c r="I24" s="45" t="s">
        <v>456</v>
      </c>
      <c r="J24" s="45" t="s">
        <v>503</v>
      </c>
      <c r="K24" s="45" t="s">
        <v>560</v>
      </c>
      <c r="L24" s="45" t="s">
        <v>614</v>
      </c>
      <c r="M24" s="45" t="s">
        <v>666</v>
      </c>
    </row>
    <row r="25" spans="2:13" x14ac:dyDescent="0.25">
      <c r="B25" s="45" t="s">
        <v>178</v>
      </c>
      <c r="C25" s="45" t="s">
        <v>213</v>
      </c>
      <c r="D25" s="45" t="s">
        <v>246</v>
      </c>
      <c r="E25" s="45" t="s">
        <v>282</v>
      </c>
      <c r="F25" s="45" t="s">
        <v>331</v>
      </c>
      <c r="G25" s="45" t="s">
        <v>387</v>
      </c>
      <c r="H25" s="45" t="s">
        <v>417</v>
      </c>
      <c r="I25" s="45" t="s">
        <v>457</v>
      </c>
      <c r="J25" s="45" t="s">
        <v>504</v>
      </c>
      <c r="K25" s="45" t="s">
        <v>561</v>
      </c>
      <c r="L25" s="45" t="s">
        <v>615</v>
      </c>
      <c r="M25" s="45" t="s">
        <v>667</v>
      </c>
    </row>
    <row r="26" spans="2:13" x14ac:dyDescent="0.25">
      <c r="B26" s="45" t="s">
        <v>179</v>
      </c>
      <c r="C26" s="45" t="s">
        <v>214</v>
      </c>
      <c r="D26" s="45" t="s">
        <v>247</v>
      </c>
      <c r="E26" s="45" t="s">
        <v>283</v>
      </c>
      <c r="F26" s="45" t="s">
        <v>332</v>
      </c>
      <c r="G26" s="45" t="s">
        <v>388</v>
      </c>
      <c r="H26" s="45" t="s">
        <v>418</v>
      </c>
      <c r="I26" s="45" t="s">
        <v>458</v>
      </c>
      <c r="J26" s="45" t="s">
        <v>505</v>
      </c>
      <c r="K26" s="45" t="s">
        <v>562</v>
      </c>
      <c r="L26" s="45" t="s">
        <v>616</v>
      </c>
      <c r="M26" s="45" t="s">
        <v>668</v>
      </c>
    </row>
    <row r="27" spans="2:13" x14ac:dyDescent="0.25">
      <c r="B27" s="45" t="s">
        <v>180</v>
      </c>
      <c r="C27" s="45" t="s">
        <v>215</v>
      </c>
      <c r="D27" s="45" t="s">
        <v>248</v>
      </c>
      <c r="E27" s="45" t="s">
        <v>284</v>
      </c>
      <c r="F27" s="45" t="s">
        <v>333</v>
      </c>
      <c r="G27" s="45" t="s">
        <v>389</v>
      </c>
      <c r="H27" s="45" t="s">
        <v>419</v>
      </c>
      <c r="I27" s="45" t="s">
        <v>459</v>
      </c>
      <c r="J27" s="45" t="s">
        <v>506</v>
      </c>
      <c r="K27" s="45" t="s">
        <v>563</v>
      </c>
      <c r="L27" s="45" t="s">
        <v>617</v>
      </c>
      <c r="M27" s="45" t="s">
        <v>669</v>
      </c>
    </row>
    <row r="28" spans="2:13" x14ac:dyDescent="0.25">
      <c r="B28" s="45" t="s">
        <v>181</v>
      </c>
      <c r="C28" s="45" t="s">
        <v>216</v>
      </c>
      <c r="D28" s="45" t="s">
        <v>249</v>
      </c>
      <c r="E28" s="45" t="s">
        <v>285</v>
      </c>
      <c r="F28" s="45" t="s">
        <v>334</v>
      </c>
      <c r="G28" s="45" t="s">
        <v>390</v>
      </c>
      <c r="H28" s="45" t="s">
        <v>420</v>
      </c>
      <c r="I28" s="45" t="s">
        <v>460</v>
      </c>
      <c r="J28" s="45" t="s">
        <v>507</v>
      </c>
      <c r="K28" s="45" t="s">
        <v>564</v>
      </c>
      <c r="L28" s="45" t="s">
        <v>618</v>
      </c>
      <c r="M28" s="45" t="s">
        <v>670</v>
      </c>
    </row>
    <row r="29" spans="2:13" x14ac:dyDescent="0.25">
      <c r="B29" s="45" t="s">
        <v>182</v>
      </c>
      <c r="C29" s="45" t="s">
        <v>217</v>
      </c>
      <c r="D29" s="45" t="s">
        <v>250</v>
      </c>
      <c r="E29" s="45" t="s">
        <v>286</v>
      </c>
      <c r="F29" s="45" t="s">
        <v>335</v>
      </c>
      <c r="G29" s="45" t="s">
        <v>391</v>
      </c>
      <c r="H29" s="45" t="s">
        <v>421</v>
      </c>
      <c r="I29" s="45" t="s">
        <v>461</v>
      </c>
      <c r="J29" s="45" t="s">
        <v>508</v>
      </c>
      <c r="K29" s="45" t="s">
        <v>565</v>
      </c>
      <c r="L29" s="45" t="s">
        <v>619</v>
      </c>
      <c r="M29" s="45" t="s">
        <v>506</v>
      </c>
    </row>
    <row r="30" spans="2:13" x14ac:dyDescent="0.25">
      <c r="B30" s="45" t="s">
        <v>183</v>
      </c>
      <c r="C30" s="45" t="s">
        <v>218</v>
      </c>
      <c r="D30" s="45" t="s">
        <v>251</v>
      </c>
      <c r="E30" s="45" t="s">
        <v>287</v>
      </c>
      <c r="F30" s="45" t="s">
        <v>336</v>
      </c>
      <c r="G30" s="45" t="s">
        <v>392</v>
      </c>
      <c r="H30" s="45" t="s">
        <v>422</v>
      </c>
      <c r="I30" s="45" t="s">
        <v>462</v>
      </c>
      <c r="J30" s="45" t="s">
        <v>509</v>
      </c>
      <c r="K30" s="45" t="s">
        <v>566</v>
      </c>
      <c r="L30" s="45" t="s">
        <v>177</v>
      </c>
      <c r="M30" s="45" t="s">
        <v>671</v>
      </c>
    </row>
    <row r="31" spans="2:13" x14ac:dyDescent="0.25">
      <c r="B31" s="45" t="s">
        <v>184</v>
      </c>
      <c r="C31" s="45" t="s">
        <v>219</v>
      </c>
      <c r="D31" s="45" t="s">
        <v>252</v>
      </c>
      <c r="E31" s="45" t="s">
        <v>288</v>
      </c>
      <c r="F31" s="45" t="s">
        <v>337</v>
      </c>
      <c r="G31" s="45" t="s">
        <v>393</v>
      </c>
      <c r="H31" s="45" t="s">
        <v>423</v>
      </c>
      <c r="I31" s="45" t="s">
        <v>463</v>
      </c>
      <c r="J31" s="45" t="s">
        <v>510</v>
      </c>
      <c r="K31" s="45" t="s">
        <v>567</v>
      </c>
      <c r="L31" s="45" t="s">
        <v>620</v>
      </c>
      <c r="M31" s="45" t="s">
        <v>672</v>
      </c>
    </row>
    <row r="32" spans="2:13" x14ac:dyDescent="0.25">
      <c r="B32" s="45" t="s">
        <v>185</v>
      </c>
      <c r="C32" s="45" t="s">
        <v>220</v>
      </c>
      <c r="D32" s="45" t="s">
        <v>253</v>
      </c>
      <c r="E32" s="45" t="s">
        <v>289</v>
      </c>
      <c r="F32" s="45" t="s">
        <v>338</v>
      </c>
      <c r="G32" s="45" t="s">
        <v>394</v>
      </c>
      <c r="H32" s="45" t="s">
        <v>424</v>
      </c>
      <c r="I32" s="45" t="s">
        <v>464</v>
      </c>
      <c r="J32" s="45" t="s">
        <v>511</v>
      </c>
      <c r="K32" s="45" t="s">
        <v>568</v>
      </c>
      <c r="L32" s="45" t="s">
        <v>621</v>
      </c>
      <c r="M32" s="45" t="s">
        <v>282</v>
      </c>
    </row>
    <row r="33" spans="2:13" x14ac:dyDescent="0.25">
      <c r="B33" s="45" t="s">
        <v>186</v>
      </c>
      <c r="C33" s="45" t="s">
        <v>221</v>
      </c>
      <c r="D33" s="45" t="s">
        <v>254</v>
      </c>
      <c r="E33" s="45" t="s">
        <v>290</v>
      </c>
      <c r="F33" s="45" t="s">
        <v>339</v>
      </c>
      <c r="G33" s="45" t="s">
        <v>395</v>
      </c>
      <c r="H33" s="45" t="s">
        <v>425</v>
      </c>
      <c r="I33" s="45" t="s">
        <v>465</v>
      </c>
      <c r="J33" s="45" t="s">
        <v>512</v>
      </c>
      <c r="K33" s="45" t="s">
        <v>569</v>
      </c>
      <c r="L33" s="45" t="s">
        <v>622</v>
      </c>
      <c r="M33" s="45" t="s">
        <v>673</v>
      </c>
    </row>
    <row r="34" spans="2:13" x14ac:dyDescent="0.25">
      <c r="B34" s="45" t="s">
        <v>187</v>
      </c>
      <c r="C34" s="45" t="s">
        <v>222</v>
      </c>
      <c r="D34" s="45" t="s">
        <v>255</v>
      </c>
      <c r="E34" s="45" t="s">
        <v>291</v>
      </c>
      <c r="F34" s="45" t="s">
        <v>340</v>
      </c>
      <c r="G34" s="45" t="s">
        <v>396</v>
      </c>
      <c r="H34" s="45" t="s">
        <v>426</v>
      </c>
      <c r="I34" s="45" t="s">
        <v>466</v>
      </c>
      <c r="J34" s="45" t="s">
        <v>513</v>
      </c>
      <c r="K34" s="45" t="s">
        <v>570</v>
      </c>
      <c r="L34" s="45" t="s">
        <v>623</v>
      </c>
      <c r="M34" s="45" t="s">
        <v>674</v>
      </c>
    </row>
    <row r="35" spans="2:13" x14ac:dyDescent="0.25">
      <c r="B35" s="45" t="s">
        <v>188</v>
      </c>
      <c r="C35" s="45" t="s">
        <v>223</v>
      </c>
      <c r="D35" s="45" t="s">
        <v>256</v>
      </c>
      <c r="E35" s="45" t="s">
        <v>292</v>
      </c>
      <c r="F35" s="45" t="s">
        <v>341</v>
      </c>
      <c r="H35" s="45" t="s">
        <v>427</v>
      </c>
      <c r="I35" s="45" t="s">
        <v>467</v>
      </c>
      <c r="J35" s="45" t="s">
        <v>514</v>
      </c>
      <c r="K35" s="45" t="s">
        <v>571</v>
      </c>
      <c r="L35" s="45" t="s">
        <v>624</v>
      </c>
      <c r="M35" s="45" t="s">
        <v>675</v>
      </c>
    </row>
    <row r="36" spans="2:13" x14ac:dyDescent="0.25">
      <c r="B36" s="45" t="s">
        <v>189</v>
      </c>
      <c r="C36" s="45" t="s">
        <v>224</v>
      </c>
      <c r="D36" s="45" t="s">
        <v>257</v>
      </c>
      <c r="E36" s="45" t="s">
        <v>293</v>
      </c>
      <c r="F36" s="45" t="s">
        <v>342</v>
      </c>
      <c r="H36" s="45" t="s">
        <v>428</v>
      </c>
      <c r="I36" s="45" t="s">
        <v>468</v>
      </c>
      <c r="J36" s="45" t="s">
        <v>515</v>
      </c>
      <c r="K36" s="45" t="s">
        <v>572</v>
      </c>
      <c r="L36" s="45" t="s">
        <v>625</v>
      </c>
      <c r="M36" s="45" t="s">
        <v>676</v>
      </c>
    </row>
    <row r="37" spans="2:13" x14ac:dyDescent="0.25">
      <c r="B37" s="45" t="s">
        <v>190</v>
      </c>
      <c r="D37" s="45" t="s">
        <v>258</v>
      </c>
      <c r="E37" s="45" t="s">
        <v>294</v>
      </c>
      <c r="F37" s="45" t="s">
        <v>343</v>
      </c>
      <c r="H37" s="45" t="s">
        <v>429</v>
      </c>
      <c r="I37" s="45" t="s">
        <v>469</v>
      </c>
      <c r="J37" s="45" t="s">
        <v>516</v>
      </c>
      <c r="K37" s="45" t="s">
        <v>573</v>
      </c>
      <c r="L37" s="45" t="s">
        <v>626</v>
      </c>
      <c r="M37" s="45" t="s">
        <v>677</v>
      </c>
    </row>
    <row r="38" spans="2:13" x14ac:dyDescent="0.25">
      <c r="B38" s="45" t="s">
        <v>191</v>
      </c>
      <c r="D38" s="45" t="s">
        <v>259</v>
      </c>
      <c r="E38" s="45" t="s">
        <v>295</v>
      </c>
      <c r="F38" s="45" t="s">
        <v>344</v>
      </c>
      <c r="H38" s="45" t="s">
        <v>430</v>
      </c>
      <c r="I38" s="45" t="s">
        <v>470</v>
      </c>
      <c r="J38" s="45" t="s">
        <v>517</v>
      </c>
      <c r="K38" s="45" t="s">
        <v>574</v>
      </c>
      <c r="L38" s="45" t="s">
        <v>627</v>
      </c>
      <c r="M38" s="45" t="s">
        <v>678</v>
      </c>
    </row>
    <row r="39" spans="2:13" x14ac:dyDescent="0.25">
      <c r="B39" s="45" t="s">
        <v>192</v>
      </c>
      <c r="D39" s="45" t="s">
        <v>260</v>
      </c>
      <c r="E39" s="45" t="s">
        <v>296</v>
      </c>
      <c r="F39" s="45" t="s">
        <v>345</v>
      </c>
      <c r="H39" s="45" t="s">
        <v>431</v>
      </c>
      <c r="I39" s="45" t="s">
        <v>471</v>
      </c>
      <c r="J39" s="45" t="s">
        <v>518</v>
      </c>
      <c r="K39" s="45" t="s">
        <v>575</v>
      </c>
      <c r="L39" s="45" t="s">
        <v>628</v>
      </c>
      <c r="M39" s="45" t="s">
        <v>679</v>
      </c>
    </row>
    <row r="40" spans="2:13" x14ac:dyDescent="0.25">
      <c r="E40" s="45" t="s">
        <v>297</v>
      </c>
      <c r="F40" s="45" t="s">
        <v>346</v>
      </c>
      <c r="H40" s="45" t="s">
        <v>432</v>
      </c>
      <c r="I40" s="45" t="s">
        <v>472</v>
      </c>
      <c r="J40" s="45" t="s">
        <v>519</v>
      </c>
      <c r="K40" s="45" t="s">
        <v>576</v>
      </c>
      <c r="L40" s="45" t="s">
        <v>629</v>
      </c>
      <c r="M40" s="45" t="s">
        <v>680</v>
      </c>
    </row>
    <row r="41" spans="2:13" x14ac:dyDescent="0.25">
      <c r="E41" s="45" t="s">
        <v>298</v>
      </c>
      <c r="F41" s="45" t="s">
        <v>347</v>
      </c>
      <c r="H41" s="45" t="s">
        <v>433</v>
      </c>
      <c r="I41" s="45" t="s">
        <v>473</v>
      </c>
      <c r="J41" s="45" t="s">
        <v>520</v>
      </c>
      <c r="K41" s="45" t="s">
        <v>577</v>
      </c>
      <c r="L41" s="45" t="s">
        <v>630</v>
      </c>
      <c r="M41" s="45" t="s">
        <v>681</v>
      </c>
    </row>
    <row r="42" spans="2:13" x14ac:dyDescent="0.25">
      <c r="E42" s="45" t="s">
        <v>299</v>
      </c>
      <c r="F42" s="45" t="s">
        <v>348</v>
      </c>
      <c r="H42" s="45" t="s">
        <v>434</v>
      </c>
      <c r="I42" s="45" t="s">
        <v>474</v>
      </c>
      <c r="J42" s="45" t="s">
        <v>521</v>
      </c>
      <c r="K42" s="45" t="s">
        <v>578</v>
      </c>
      <c r="L42" s="45" t="s">
        <v>631</v>
      </c>
      <c r="M42" s="45" t="s">
        <v>682</v>
      </c>
    </row>
    <row r="43" spans="2:13" x14ac:dyDescent="0.25">
      <c r="E43" s="45" t="s">
        <v>300</v>
      </c>
      <c r="F43" s="45" t="s">
        <v>349</v>
      </c>
      <c r="H43" s="45" t="s">
        <v>435</v>
      </c>
      <c r="I43" s="45" t="s">
        <v>475</v>
      </c>
      <c r="J43" s="45" t="s">
        <v>522</v>
      </c>
      <c r="K43" s="45" t="s">
        <v>579</v>
      </c>
      <c r="L43" s="45" t="s">
        <v>632</v>
      </c>
      <c r="M43" s="45" t="s">
        <v>683</v>
      </c>
    </row>
    <row r="44" spans="2:13" x14ac:dyDescent="0.25">
      <c r="E44" s="45" t="s">
        <v>301</v>
      </c>
      <c r="F44" s="45" t="s">
        <v>350</v>
      </c>
      <c r="I44" s="45" t="s">
        <v>476</v>
      </c>
      <c r="J44" s="45" t="s">
        <v>523</v>
      </c>
      <c r="K44" s="45" t="s">
        <v>580</v>
      </c>
      <c r="L44" s="45" t="s">
        <v>633</v>
      </c>
      <c r="M44" s="45" t="s">
        <v>684</v>
      </c>
    </row>
    <row r="45" spans="2:13" x14ac:dyDescent="0.25">
      <c r="E45" s="45" t="s">
        <v>302</v>
      </c>
      <c r="F45" s="45" t="s">
        <v>351</v>
      </c>
      <c r="I45" s="45" t="s">
        <v>477</v>
      </c>
      <c r="J45" s="45" t="s">
        <v>524</v>
      </c>
      <c r="K45" s="45" t="s">
        <v>581</v>
      </c>
      <c r="L45" s="45" t="s">
        <v>634</v>
      </c>
      <c r="M45" s="45" t="s">
        <v>685</v>
      </c>
    </row>
    <row r="46" spans="2:13" x14ac:dyDescent="0.25">
      <c r="E46" s="45" t="s">
        <v>303</v>
      </c>
      <c r="F46" s="45" t="s">
        <v>352</v>
      </c>
      <c r="I46" s="45" t="s">
        <v>478</v>
      </c>
      <c r="J46" s="45" t="s">
        <v>525</v>
      </c>
      <c r="K46" s="45" t="s">
        <v>582</v>
      </c>
      <c r="L46" s="45" t="s">
        <v>635</v>
      </c>
      <c r="M46" s="45" t="s">
        <v>686</v>
      </c>
    </row>
    <row r="47" spans="2:13" x14ac:dyDescent="0.25">
      <c r="E47" s="45" t="s">
        <v>304</v>
      </c>
      <c r="F47" s="45" t="s">
        <v>353</v>
      </c>
      <c r="I47" s="45" t="s">
        <v>479</v>
      </c>
      <c r="J47" s="45" t="s">
        <v>526</v>
      </c>
      <c r="K47" s="45" t="s">
        <v>583</v>
      </c>
      <c r="L47" s="45" t="s">
        <v>636</v>
      </c>
      <c r="M47" s="45" t="s">
        <v>687</v>
      </c>
    </row>
    <row r="48" spans="2:13" x14ac:dyDescent="0.25">
      <c r="E48" s="45" t="s">
        <v>305</v>
      </c>
      <c r="F48" s="45" t="s">
        <v>354</v>
      </c>
      <c r="I48" s="45" t="s">
        <v>480</v>
      </c>
      <c r="J48" s="45" t="s">
        <v>527</v>
      </c>
      <c r="K48" s="45" t="s">
        <v>584</v>
      </c>
      <c r="L48" s="45" t="s">
        <v>637</v>
      </c>
      <c r="M48" s="45" t="s">
        <v>688</v>
      </c>
    </row>
    <row r="49" spans="5:13" x14ac:dyDescent="0.25">
      <c r="E49" s="45" t="s">
        <v>306</v>
      </c>
      <c r="F49" s="45" t="s">
        <v>355</v>
      </c>
      <c r="I49" s="45" t="s">
        <v>481</v>
      </c>
      <c r="J49" s="45" t="s">
        <v>528</v>
      </c>
      <c r="K49" s="45" t="s">
        <v>585</v>
      </c>
      <c r="L49" s="45" t="s">
        <v>638</v>
      </c>
      <c r="M49" s="45" t="s">
        <v>689</v>
      </c>
    </row>
    <row r="50" spans="5:13" x14ac:dyDescent="0.25">
      <c r="E50" s="45" t="s">
        <v>307</v>
      </c>
      <c r="F50" s="45" t="s">
        <v>356</v>
      </c>
      <c r="I50" s="45" t="s">
        <v>482</v>
      </c>
      <c r="J50" s="45" t="s">
        <v>529</v>
      </c>
      <c r="K50" s="45" t="s">
        <v>586</v>
      </c>
      <c r="L50" s="45" t="s">
        <v>639</v>
      </c>
      <c r="M50" s="45" t="s">
        <v>690</v>
      </c>
    </row>
    <row r="51" spans="5:13" x14ac:dyDescent="0.25">
      <c r="E51" s="45" t="s">
        <v>308</v>
      </c>
      <c r="F51" s="45" t="s">
        <v>357</v>
      </c>
      <c r="I51" s="45" t="s">
        <v>346</v>
      </c>
      <c r="J51" s="45" t="s">
        <v>530</v>
      </c>
      <c r="K51" s="45" t="s">
        <v>587</v>
      </c>
      <c r="L51" s="45" t="s">
        <v>640</v>
      </c>
      <c r="M51" s="45" t="s">
        <v>691</v>
      </c>
    </row>
    <row r="52" spans="5:13" x14ac:dyDescent="0.25">
      <c r="E52" s="45" t="s">
        <v>309</v>
      </c>
      <c r="F52" s="45" t="s">
        <v>358</v>
      </c>
      <c r="J52" s="45" t="s">
        <v>531</v>
      </c>
      <c r="K52" s="45" t="s">
        <v>588</v>
      </c>
      <c r="L52" s="45" t="s">
        <v>641</v>
      </c>
      <c r="M52" s="45" t="s">
        <v>692</v>
      </c>
    </row>
    <row r="53" spans="5:13" x14ac:dyDescent="0.25">
      <c r="E53" s="45" t="s">
        <v>310</v>
      </c>
      <c r="F53" s="45" t="s">
        <v>359</v>
      </c>
      <c r="J53" s="45" t="s">
        <v>532</v>
      </c>
      <c r="K53" s="45" t="s">
        <v>589</v>
      </c>
      <c r="L53" s="45" t="s">
        <v>642</v>
      </c>
      <c r="M53" s="45" t="s">
        <v>693</v>
      </c>
    </row>
    <row r="54" spans="5:13" x14ac:dyDescent="0.25">
      <c r="F54" s="45" t="s">
        <v>360</v>
      </c>
      <c r="J54" s="45" t="s">
        <v>533</v>
      </c>
      <c r="K54" s="45" t="s">
        <v>590</v>
      </c>
      <c r="L54" s="45" t="s">
        <v>643</v>
      </c>
      <c r="M54" s="45" t="s">
        <v>694</v>
      </c>
    </row>
    <row r="55" spans="5:13" x14ac:dyDescent="0.25">
      <c r="F55" s="45" t="s">
        <v>361</v>
      </c>
      <c r="J55" s="45" t="s">
        <v>534</v>
      </c>
      <c r="K55" s="45" t="s">
        <v>591</v>
      </c>
      <c r="L55" s="45" t="s">
        <v>644</v>
      </c>
      <c r="M55" s="45" t="s">
        <v>695</v>
      </c>
    </row>
    <row r="56" spans="5:13" x14ac:dyDescent="0.25">
      <c r="F56" s="45" t="s">
        <v>362</v>
      </c>
      <c r="J56" s="45" t="s">
        <v>535</v>
      </c>
      <c r="K56" s="45" t="s">
        <v>592</v>
      </c>
      <c r="L56" s="45" t="s">
        <v>645</v>
      </c>
    </row>
    <row r="57" spans="5:13" x14ac:dyDescent="0.25">
      <c r="F57" s="45" t="s">
        <v>363</v>
      </c>
      <c r="J57" s="45" t="s">
        <v>536</v>
      </c>
      <c r="K57" s="45" t="s">
        <v>593</v>
      </c>
      <c r="L57" s="45" t="s">
        <v>646</v>
      </c>
    </row>
    <row r="58" spans="5:13" x14ac:dyDescent="0.25">
      <c r="F58" s="45" t="s">
        <v>364</v>
      </c>
      <c r="J58" s="45" t="s">
        <v>537</v>
      </c>
      <c r="K58" s="45" t="s">
        <v>594</v>
      </c>
    </row>
    <row r="59" spans="5:13" x14ac:dyDescent="0.25">
      <c r="F59" s="45" t="s">
        <v>365</v>
      </c>
      <c r="J59" s="45" t="s">
        <v>538</v>
      </c>
    </row>
    <row r="60" spans="5:13" x14ac:dyDescent="0.25">
      <c r="F60" s="45" t="s">
        <v>366</v>
      </c>
      <c r="J60" s="45" t="s">
        <v>511</v>
      </c>
    </row>
    <row r="61" spans="5:13" x14ac:dyDescent="0.25">
      <c r="F61" s="45" t="s">
        <v>367</v>
      </c>
      <c r="J61" s="45" t="s">
        <v>539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A8B8-2FD2-4284-8187-11E712F882ED}">
  <dimension ref="A2:W68"/>
  <sheetViews>
    <sheetView topLeftCell="A16" workbookViewId="0">
      <selection activeCell="M61" sqref="M61"/>
    </sheetView>
  </sheetViews>
  <sheetFormatPr defaultRowHeight="15" x14ac:dyDescent="0.25"/>
  <cols>
    <col min="1" max="1" width="9.5703125" customWidth="1"/>
    <col min="3" max="4" width="11.42578125" customWidth="1"/>
    <col min="5" max="5" width="14.140625" customWidth="1"/>
    <col min="7" max="7" width="17.42578125" customWidth="1"/>
    <col min="9" max="9" width="17.5703125" customWidth="1"/>
    <col min="11" max="11" width="12.140625" customWidth="1"/>
    <col min="12" max="12" width="10.7109375" customWidth="1"/>
    <col min="14" max="14" width="16.7109375" customWidth="1"/>
    <col min="15" max="15" width="11.42578125" customWidth="1"/>
    <col min="16" max="16" width="10.7109375" customWidth="1"/>
  </cols>
  <sheetData>
    <row r="2" spans="1:23" x14ac:dyDescent="0.25">
      <c r="A2" s="1" t="s">
        <v>0</v>
      </c>
      <c r="C2" s="1" t="s">
        <v>60</v>
      </c>
      <c r="D2" s="1"/>
      <c r="E2" s="1" t="s">
        <v>125</v>
      </c>
      <c r="G2" s="1" t="s">
        <v>65</v>
      </c>
      <c r="I2" t="s">
        <v>131</v>
      </c>
      <c r="K2" t="s">
        <v>1</v>
      </c>
      <c r="L2" t="s">
        <v>726</v>
      </c>
      <c r="N2" t="s">
        <v>124</v>
      </c>
      <c r="O2" t="s">
        <v>737</v>
      </c>
    </row>
    <row r="3" spans="1:23" x14ac:dyDescent="0.25">
      <c r="A3" t="s">
        <v>6</v>
      </c>
      <c r="C3" t="s">
        <v>7</v>
      </c>
      <c r="E3" t="s">
        <v>7</v>
      </c>
      <c r="G3" t="s">
        <v>77</v>
      </c>
      <c r="I3" t="s">
        <v>127</v>
      </c>
      <c r="K3" t="s">
        <v>7</v>
      </c>
      <c r="L3" t="s">
        <v>8</v>
      </c>
      <c r="N3" t="s">
        <v>15</v>
      </c>
      <c r="O3">
        <v>1</v>
      </c>
      <c r="T3" t="s">
        <v>15</v>
      </c>
      <c r="W3" t="s">
        <v>8</v>
      </c>
    </row>
    <row r="4" spans="1:23" x14ac:dyDescent="0.25">
      <c r="A4" s="2" t="s">
        <v>31</v>
      </c>
      <c r="C4" t="s">
        <v>9</v>
      </c>
      <c r="E4" t="s">
        <v>9</v>
      </c>
      <c r="G4" t="s">
        <v>76</v>
      </c>
      <c r="I4" t="s">
        <v>67</v>
      </c>
      <c r="K4" t="s">
        <v>9</v>
      </c>
      <c r="L4" t="s">
        <v>127</v>
      </c>
      <c r="N4" t="s">
        <v>17</v>
      </c>
      <c r="O4">
        <v>1</v>
      </c>
      <c r="T4" t="s">
        <v>17</v>
      </c>
      <c r="W4" t="s">
        <v>66</v>
      </c>
    </row>
    <row r="5" spans="1:23" x14ac:dyDescent="0.25">
      <c r="A5" s="2" t="s">
        <v>32</v>
      </c>
      <c r="C5" t="s">
        <v>12</v>
      </c>
      <c r="E5" t="s">
        <v>12</v>
      </c>
      <c r="G5" t="s">
        <v>74</v>
      </c>
      <c r="K5" t="s">
        <v>12</v>
      </c>
      <c r="L5" t="s">
        <v>67</v>
      </c>
      <c r="N5" t="s">
        <v>127</v>
      </c>
      <c r="O5">
        <v>2</v>
      </c>
      <c r="T5" t="s">
        <v>66</v>
      </c>
      <c r="W5" t="s">
        <v>67</v>
      </c>
    </row>
    <row r="6" spans="1:23" x14ac:dyDescent="0.25">
      <c r="A6" s="2" t="s">
        <v>33</v>
      </c>
      <c r="C6" t="s">
        <v>14</v>
      </c>
      <c r="E6" t="s">
        <v>14</v>
      </c>
      <c r="G6" t="s">
        <v>75</v>
      </c>
      <c r="K6" t="s">
        <v>14</v>
      </c>
      <c r="L6" t="s">
        <v>15</v>
      </c>
      <c r="N6" t="s">
        <v>67</v>
      </c>
      <c r="O6">
        <v>2</v>
      </c>
      <c r="T6" t="s">
        <v>67</v>
      </c>
      <c r="W6" t="s">
        <v>15</v>
      </c>
    </row>
    <row r="7" spans="1:23" x14ac:dyDescent="0.25">
      <c r="A7" s="2" t="s">
        <v>34</v>
      </c>
      <c r="C7" t="s">
        <v>16</v>
      </c>
      <c r="E7" t="s">
        <v>16</v>
      </c>
      <c r="G7" t="s">
        <v>73</v>
      </c>
      <c r="K7" t="s">
        <v>16</v>
      </c>
      <c r="L7" t="s">
        <v>17</v>
      </c>
      <c r="N7" t="s">
        <v>8</v>
      </c>
      <c r="O7">
        <v>1</v>
      </c>
      <c r="T7" t="s">
        <v>8</v>
      </c>
      <c r="W7" t="s">
        <v>17</v>
      </c>
    </row>
    <row r="8" spans="1:23" x14ac:dyDescent="0.25">
      <c r="A8" s="2" t="s">
        <v>35</v>
      </c>
      <c r="C8" t="s">
        <v>18</v>
      </c>
      <c r="E8" t="s">
        <v>18</v>
      </c>
      <c r="G8" t="s">
        <v>78</v>
      </c>
      <c r="K8" t="s">
        <v>18</v>
      </c>
      <c r="L8" t="s">
        <v>67</v>
      </c>
      <c r="N8" t="s">
        <v>22</v>
      </c>
      <c r="O8">
        <v>1</v>
      </c>
      <c r="T8" t="s">
        <v>22</v>
      </c>
      <c r="W8" t="s">
        <v>22</v>
      </c>
    </row>
    <row r="9" spans="1:23" x14ac:dyDescent="0.25">
      <c r="A9" s="2" t="s">
        <v>36</v>
      </c>
      <c r="C9" t="s">
        <v>10</v>
      </c>
      <c r="E9" t="s">
        <v>10</v>
      </c>
      <c r="G9" t="s">
        <v>79</v>
      </c>
      <c r="K9" t="s">
        <v>10</v>
      </c>
      <c r="L9" t="s">
        <v>127</v>
      </c>
      <c r="N9" t="s">
        <v>24</v>
      </c>
      <c r="O9">
        <v>1</v>
      </c>
      <c r="T9" t="s">
        <v>24</v>
      </c>
      <c r="W9" t="s">
        <v>24</v>
      </c>
    </row>
    <row r="10" spans="1:23" x14ac:dyDescent="0.25">
      <c r="A10" s="2" t="s">
        <v>37</v>
      </c>
      <c r="C10" t="s">
        <v>21</v>
      </c>
      <c r="E10" t="s">
        <v>21</v>
      </c>
      <c r="G10" t="s">
        <v>80</v>
      </c>
      <c r="K10" t="s">
        <v>21</v>
      </c>
      <c r="L10" t="s">
        <v>22</v>
      </c>
      <c r="N10" t="s">
        <v>26</v>
      </c>
      <c r="O10">
        <v>1</v>
      </c>
      <c r="T10" t="s">
        <v>26</v>
      </c>
      <c r="W10" t="s">
        <v>26</v>
      </c>
    </row>
    <row r="11" spans="1:23" x14ac:dyDescent="0.25">
      <c r="A11" s="2" t="s">
        <v>38</v>
      </c>
      <c r="C11" t="s">
        <v>23</v>
      </c>
      <c r="E11" t="s">
        <v>23</v>
      </c>
      <c r="G11" t="s">
        <v>81</v>
      </c>
      <c r="K11" t="s">
        <v>23</v>
      </c>
      <c r="L11" t="s">
        <v>24</v>
      </c>
      <c r="N11" t="s">
        <v>28</v>
      </c>
      <c r="O11">
        <v>1</v>
      </c>
      <c r="T11" t="s">
        <v>28</v>
      </c>
      <c r="W11" t="s">
        <v>28</v>
      </c>
    </row>
    <row r="12" spans="1:23" x14ac:dyDescent="0.25">
      <c r="A12" s="2" t="s">
        <v>39</v>
      </c>
      <c r="C12" t="s">
        <v>25</v>
      </c>
      <c r="E12" t="s">
        <v>25</v>
      </c>
      <c r="G12" t="s">
        <v>82</v>
      </c>
      <c r="K12" t="s">
        <v>25</v>
      </c>
      <c r="L12" t="s">
        <v>26</v>
      </c>
      <c r="N12" t="s">
        <v>30</v>
      </c>
      <c r="O12">
        <v>1</v>
      </c>
      <c r="T12" t="s">
        <v>30</v>
      </c>
      <c r="W12" t="s">
        <v>30</v>
      </c>
    </row>
    <row r="13" spans="1:23" x14ac:dyDescent="0.25">
      <c r="A13" s="2" t="s">
        <v>40</v>
      </c>
      <c r="C13" t="s">
        <v>27</v>
      </c>
      <c r="E13" t="s">
        <v>27</v>
      </c>
      <c r="G13" t="s">
        <v>68</v>
      </c>
      <c r="K13" t="s">
        <v>27</v>
      </c>
      <c r="L13" t="s">
        <v>28</v>
      </c>
    </row>
    <row r="14" spans="1:23" x14ac:dyDescent="0.25">
      <c r="A14" s="2" t="s">
        <v>41</v>
      </c>
      <c r="C14" t="s">
        <v>29</v>
      </c>
      <c r="E14" t="s">
        <v>29</v>
      </c>
      <c r="G14" t="s">
        <v>71</v>
      </c>
      <c r="K14" t="s">
        <v>29</v>
      </c>
      <c r="L14" t="s">
        <v>30</v>
      </c>
      <c r="V14" t="s">
        <v>142</v>
      </c>
    </row>
    <row r="15" spans="1:23" x14ac:dyDescent="0.25">
      <c r="A15" s="2" t="s">
        <v>42</v>
      </c>
      <c r="G15" t="s">
        <v>70</v>
      </c>
      <c r="V15" t="s">
        <v>144</v>
      </c>
    </row>
    <row r="16" spans="1:23" x14ac:dyDescent="0.25">
      <c r="A16" s="2" t="s">
        <v>43</v>
      </c>
      <c r="G16" t="s">
        <v>69</v>
      </c>
      <c r="V16" t="s">
        <v>143</v>
      </c>
    </row>
    <row r="17" spans="1:22" x14ac:dyDescent="0.25">
      <c r="A17" s="2" t="s">
        <v>44</v>
      </c>
      <c r="G17" t="s">
        <v>72</v>
      </c>
      <c r="U17" s="208" t="s">
        <v>741</v>
      </c>
      <c r="V17" t="s">
        <v>740</v>
      </c>
    </row>
    <row r="18" spans="1:22" x14ac:dyDescent="0.25">
      <c r="A18" s="2" t="s">
        <v>45</v>
      </c>
      <c r="G18" t="s">
        <v>83</v>
      </c>
    </row>
    <row r="19" spans="1:22" x14ac:dyDescent="0.25">
      <c r="A19" s="2" t="s">
        <v>46</v>
      </c>
      <c r="G19" t="s">
        <v>84</v>
      </c>
    </row>
    <row r="20" spans="1:22" x14ac:dyDescent="0.25">
      <c r="A20" s="2" t="s">
        <v>48</v>
      </c>
      <c r="G20" t="s">
        <v>85</v>
      </c>
    </row>
    <row r="21" spans="1:22" x14ac:dyDescent="0.25">
      <c r="A21" s="2" t="s">
        <v>49</v>
      </c>
      <c r="G21" t="s">
        <v>86</v>
      </c>
    </row>
    <row r="22" spans="1:22" x14ac:dyDescent="0.25">
      <c r="A22" s="2" t="s">
        <v>47</v>
      </c>
    </row>
    <row r="23" spans="1:22" x14ac:dyDescent="0.25">
      <c r="A23" s="2" t="s">
        <v>50</v>
      </c>
    </row>
    <row r="24" spans="1:22" x14ac:dyDescent="0.25">
      <c r="A24" s="2" t="s">
        <v>51</v>
      </c>
    </row>
    <row r="25" spans="1:22" x14ac:dyDescent="0.25">
      <c r="A25" s="2" t="s">
        <v>52</v>
      </c>
    </row>
    <row r="26" spans="1:22" x14ac:dyDescent="0.25">
      <c r="A26" s="2" t="s">
        <v>53</v>
      </c>
    </row>
    <row r="27" spans="1:22" x14ac:dyDescent="0.25">
      <c r="A27" s="2" t="s">
        <v>54</v>
      </c>
    </row>
    <row r="28" spans="1:22" x14ac:dyDescent="0.25">
      <c r="A28" s="2" t="s">
        <v>55</v>
      </c>
    </row>
    <row r="29" spans="1:22" x14ac:dyDescent="0.25">
      <c r="A29" s="2" t="s">
        <v>56</v>
      </c>
    </row>
    <row r="30" spans="1:22" x14ac:dyDescent="0.25">
      <c r="A30" s="2" t="s">
        <v>57</v>
      </c>
    </row>
    <row r="31" spans="1:22" x14ac:dyDescent="0.25">
      <c r="A31" s="2" t="s">
        <v>58</v>
      </c>
      <c r="O31" s="420" t="s">
        <v>769</v>
      </c>
      <c r="P31" s="420"/>
    </row>
    <row r="32" spans="1:22" x14ac:dyDescent="0.25">
      <c r="A32" s="2" t="s">
        <v>59</v>
      </c>
      <c r="O32" s="420"/>
      <c r="P32" s="420"/>
    </row>
    <row r="33" spans="15:16" x14ac:dyDescent="0.25">
      <c r="O33" t="s">
        <v>133</v>
      </c>
    </row>
    <row r="34" spans="15:16" x14ac:dyDescent="0.25">
      <c r="O34" t="s">
        <v>735</v>
      </c>
      <c r="P34" t="s">
        <v>736</v>
      </c>
    </row>
    <row r="35" spans="15:16" x14ac:dyDescent="0.25">
      <c r="O35">
        <v>1</v>
      </c>
      <c r="P35" t="str">
        <f>Practice2!Z29</f>
        <v>URANUS is Aries, with Libra spark in Aries decan, expressed through Sagittarius with Gemini base (through Aquarius)</v>
      </c>
    </row>
    <row r="36" spans="15:16" x14ac:dyDescent="0.25">
      <c r="O36">
        <v>2</v>
      </c>
      <c r="P36" t="str">
        <f>Practice2!Z30</f>
        <v>URANUS is Aries, with Libra spark in Aries decan, expressed through Sagittarius with Gemini and 0 base (through Aquarius and )</v>
      </c>
    </row>
    <row r="38" spans="15:16" x14ac:dyDescent="0.25">
      <c r="O38" t="s">
        <v>725</v>
      </c>
    </row>
    <row r="39" spans="15:16" x14ac:dyDescent="0.25">
      <c r="O39" t="s">
        <v>735</v>
      </c>
      <c r="P39" t="s">
        <v>736</v>
      </c>
    </row>
    <row r="40" spans="15:16" x14ac:dyDescent="0.25">
      <c r="O40">
        <v>1</v>
      </c>
      <c r="P40" t="str">
        <f>Practice2!$Z$25</f>
        <v>JUPITER in Gemini, with Gemini spark in Gemini decan, expressed through Aquarius with Aries base (through Sagittarius)</v>
      </c>
    </row>
    <row r="41" spans="15:16" x14ac:dyDescent="0.25">
      <c r="O41">
        <v>2</v>
      </c>
      <c r="P41" t="str">
        <f>Practice2!Z26</f>
        <v>JUPITER in Gemini, with Gemini spark in Gemini decan, expressed through Aquarius with Aries and 0 base (through Sagittarius and )</v>
      </c>
    </row>
    <row r="43" spans="15:16" x14ac:dyDescent="0.25">
      <c r="O43" t="s">
        <v>739</v>
      </c>
      <c r="P43" t="s">
        <v>735</v>
      </c>
    </row>
    <row r="44" spans="15:16" x14ac:dyDescent="0.25">
      <c r="O44">
        <v>1</v>
      </c>
      <c r="P44" t="str">
        <f>Practice!I19</f>
        <v>Existence based on  Philosophy through Purpose directed into Action expressed through  Coaching</v>
      </c>
    </row>
    <row r="45" spans="15:16" x14ac:dyDescent="0.25">
      <c r="O45">
        <v>2</v>
      </c>
    </row>
    <row r="48" spans="15:16" x14ac:dyDescent="0.25">
      <c r="O48" s="420" t="s">
        <v>768</v>
      </c>
      <c r="P48" s="420"/>
    </row>
    <row r="49" spans="15:16" x14ac:dyDescent="0.25">
      <c r="O49" s="420"/>
      <c r="P49" s="420"/>
    </row>
    <row r="50" spans="15:16" x14ac:dyDescent="0.25">
      <c r="O50" t="s">
        <v>133</v>
      </c>
    </row>
    <row r="51" spans="15:16" x14ac:dyDescent="0.25">
      <c r="O51" t="s">
        <v>735</v>
      </c>
      <c r="P51" t="s">
        <v>736</v>
      </c>
    </row>
    <row r="52" spans="15:16" x14ac:dyDescent="0.25">
      <c r="O52">
        <v>1</v>
      </c>
      <c r="P52" t="str">
        <f>Practice3!AE36</f>
        <v>0 is , with spark spark in decan decan, expressed through  with  base (through )</v>
      </c>
    </row>
    <row r="53" spans="15:16" x14ac:dyDescent="0.25">
      <c r="O53">
        <v>2</v>
      </c>
      <c r="P53" t="str">
        <f>Practice3!$AE$37</f>
        <v>0 is , with spark spark in decan decan, expressed through  with  and  base (through  and )</v>
      </c>
    </row>
    <row r="55" spans="15:16" x14ac:dyDescent="0.25">
      <c r="O55" t="s">
        <v>725</v>
      </c>
    </row>
    <row r="56" spans="15:16" x14ac:dyDescent="0.25">
      <c r="O56" t="s">
        <v>735</v>
      </c>
      <c r="P56" t="s">
        <v>736</v>
      </c>
    </row>
    <row r="57" spans="15:16" x14ac:dyDescent="0.25">
      <c r="O57">
        <v>1</v>
      </c>
      <c r="P57" t="str">
        <f>Practice3!$AE$25</f>
        <v xml:space="preserve"> in , with  spark in Not Found decan, expressed through  with  base (through )</v>
      </c>
    </row>
    <row r="58" spans="15:16" x14ac:dyDescent="0.25">
      <c r="O58">
        <v>2</v>
      </c>
      <c r="P58" t="str">
        <f>Practice3!AE26</f>
        <v xml:space="preserve"> in , with  spark in Not Found decan, expressed through  with  and  base (through  and )</v>
      </c>
    </row>
    <row r="60" spans="15:16" x14ac:dyDescent="0.25">
      <c r="O60" t="s">
        <v>770</v>
      </c>
    </row>
    <row r="61" spans="15:16" x14ac:dyDescent="0.25">
      <c r="O61" t="s">
        <v>735</v>
      </c>
      <c r="P61" t="s">
        <v>736</v>
      </c>
    </row>
    <row r="62" spans="15:16" x14ac:dyDescent="0.25">
      <c r="O62">
        <v>1</v>
      </c>
      <c r="P62" t="str">
        <f>Practice3!Q23</f>
        <v xml:space="preserve"> based on   through  directed into  expressed through  </v>
      </c>
    </row>
    <row r="63" spans="15:16" x14ac:dyDescent="0.25">
      <c r="O63">
        <v>2</v>
      </c>
    </row>
    <row r="65" spans="15:16" x14ac:dyDescent="0.25">
      <c r="O65" t="s">
        <v>771</v>
      </c>
    </row>
    <row r="66" spans="15:16" x14ac:dyDescent="0.25">
      <c r="O66" t="s">
        <v>735</v>
      </c>
      <c r="P66" t="s">
        <v>736</v>
      </c>
    </row>
    <row r="67" spans="15:16" x14ac:dyDescent="0.25">
      <c r="O67">
        <v>1</v>
      </c>
      <c r="P67" t="str">
        <f>Practice3!Q28</f>
        <v xml:space="preserve"> based on   through  directed into  expressed through   going into  (with  and ), expressed through .</v>
      </c>
    </row>
    <row r="68" spans="15:16" x14ac:dyDescent="0.25">
      <c r="O68">
        <v>2</v>
      </c>
    </row>
  </sheetData>
  <mergeCells count="2">
    <mergeCell ref="O31:P32"/>
    <mergeCell ref="O48:P49"/>
  </mergeCells>
  <phoneticPr fontId="26" type="noConversion"/>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0A75-A6FE-42B7-8820-9BA17D0CDC95}">
  <dimension ref="B2:G362"/>
  <sheetViews>
    <sheetView workbookViewId="0">
      <selection activeCell="E3" sqref="E3"/>
    </sheetView>
  </sheetViews>
  <sheetFormatPr defaultRowHeight="15" x14ac:dyDescent="0.25"/>
  <cols>
    <col min="2" max="2" width="9.5703125" customWidth="1"/>
    <col min="3" max="6" width="15.5703125" customWidth="1"/>
    <col min="7" max="7" width="19.28515625" customWidth="1"/>
  </cols>
  <sheetData>
    <row r="2" spans="2:7" x14ac:dyDescent="0.25">
      <c r="B2" s="1" t="s">
        <v>0</v>
      </c>
      <c r="C2" s="1" t="s">
        <v>1</v>
      </c>
      <c r="D2" s="1" t="s">
        <v>2</v>
      </c>
      <c r="E2" s="1" t="s">
        <v>3</v>
      </c>
      <c r="F2" s="1" t="s">
        <v>4</v>
      </c>
      <c r="G2" s="1" t="s">
        <v>5</v>
      </c>
    </row>
    <row r="3" spans="2:7" x14ac:dyDescent="0.25">
      <c r="B3" t="s">
        <v>6</v>
      </c>
      <c r="C3" t="s">
        <v>7</v>
      </c>
      <c r="D3" t="str">
        <f>B3&amp;"-"&amp;C3</f>
        <v>0°-Aries</v>
      </c>
      <c r="E3" t="s">
        <v>7</v>
      </c>
      <c r="F3" t="s">
        <v>7</v>
      </c>
      <c r="G3" t="s">
        <v>8</v>
      </c>
    </row>
    <row r="4" spans="2:7" x14ac:dyDescent="0.25">
      <c r="B4" t="s">
        <v>6</v>
      </c>
      <c r="C4" t="s">
        <v>9</v>
      </c>
      <c r="D4" t="str">
        <f t="shared" ref="D4:D67" si="0">B4&amp;"-"&amp;C4</f>
        <v>0°-Taurus</v>
      </c>
      <c r="E4" t="s">
        <v>10</v>
      </c>
      <c r="F4" t="s">
        <v>9</v>
      </c>
      <c r="G4" t="s">
        <v>11</v>
      </c>
    </row>
    <row r="5" spans="2:7" x14ac:dyDescent="0.25">
      <c r="B5" t="s">
        <v>6</v>
      </c>
      <c r="C5" t="s">
        <v>12</v>
      </c>
      <c r="D5" t="str">
        <f t="shared" si="0"/>
        <v>0°-Gemini</v>
      </c>
      <c r="E5" t="s">
        <v>7</v>
      </c>
      <c r="F5" t="s">
        <v>12</v>
      </c>
      <c r="G5" t="s">
        <v>13</v>
      </c>
    </row>
    <row r="6" spans="2:7" x14ac:dyDescent="0.25">
      <c r="B6" t="s">
        <v>6</v>
      </c>
      <c r="C6" t="s">
        <v>14</v>
      </c>
      <c r="D6" t="str">
        <f t="shared" si="0"/>
        <v>0°-Cancer</v>
      </c>
      <c r="E6" t="s">
        <v>10</v>
      </c>
      <c r="F6" t="s">
        <v>14</v>
      </c>
      <c r="G6" t="s">
        <v>15</v>
      </c>
    </row>
    <row r="7" spans="2:7" x14ac:dyDescent="0.25">
      <c r="B7" t="s">
        <v>6</v>
      </c>
      <c r="C7" t="s">
        <v>16</v>
      </c>
      <c r="D7" t="str">
        <f t="shared" si="0"/>
        <v>0°-Leo</v>
      </c>
      <c r="E7" t="s">
        <v>7</v>
      </c>
      <c r="F7" t="s">
        <v>16</v>
      </c>
      <c r="G7" t="s">
        <v>17</v>
      </c>
    </row>
    <row r="8" spans="2:7" x14ac:dyDescent="0.25">
      <c r="B8" t="s">
        <v>6</v>
      </c>
      <c r="C8" t="s">
        <v>18</v>
      </c>
      <c r="D8" t="str">
        <f t="shared" si="0"/>
        <v>0°-Virgo</v>
      </c>
      <c r="E8" t="s">
        <v>10</v>
      </c>
      <c r="F8" t="s">
        <v>18</v>
      </c>
      <c r="G8" t="s">
        <v>19</v>
      </c>
    </row>
    <row r="9" spans="2:7" x14ac:dyDescent="0.25">
      <c r="B9" t="s">
        <v>6</v>
      </c>
      <c r="C9" t="s">
        <v>10</v>
      </c>
      <c r="D9" t="str">
        <f t="shared" si="0"/>
        <v>0°-Libra</v>
      </c>
      <c r="E9" t="s">
        <v>7</v>
      </c>
      <c r="F9" t="s">
        <v>10</v>
      </c>
      <c r="G9" t="s">
        <v>20</v>
      </c>
    </row>
    <row r="10" spans="2:7" x14ac:dyDescent="0.25">
      <c r="B10" t="s">
        <v>6</v>
      </c>
      <c r="C10" t="s">
        <v>21</v>
      </c>
      <c r="D10" t="str">
        <f t="shared" si="0"/>
        <v>0°-Scorpio</v>
      </c>
      <c r="E10" t="s">
        <v>10</v>
      </c>
      <c r="F10" t="s">
        <v>21</v>
      </c>
      <c r="G10" t="s">
        <v>22</v>
      </c>
    </row>
    <row r="11" spans="2:7" x14ac:dyDescent="0.25">
      <c r="B11" t="s">
        <v>6</v>
      </c>
      <c r="C11" t="s">
        <v>23</v>
      </c>
      <c r="D11" t="str">
        <f t="shared" si="0"/>
        <v>0°-Sagittarius</v>
      </c>
      <c r="E11" t="s">
        <v>7</v>
      </c>
      <c r="F11" t="s">
        <v>23</v>
      </c>
      <c r="G11" t="s">
        <v>24</v>
      </c>
    </row>
    <row r="12" spans="2:7" x14ac:dyDescent="0.25">
      <c r="B12" t="s">
        <v>6</v>
      </c>
      <c r="C12" t="s">
        <v>25</v>
      </c>
      <c r="D12" t="str">
        <f t="shared" si="0"/>
        <v>0°-Capricorn</v>
      </c>
      <c r="E12" t="s">
        <v>10</v>
      </c>
      <c r="F12" t="s">
        <v>25</v>
      </c>
      <c r="G12" t="s">
        <v>26</v>
      </c>
    </row>
    <row r="13" spans="2:7" x14ac:dyDescent="0.25">
      <c r="B13" t="s">
        <v>6</v>
      </c>
      <c r="C13" t="s">
        <v>27</v>
      </c>
      <c r="D13" t="str">
        <f t="shared" si="0"/>
        <v>0°-Aquarius</v>
      </c>
      <c r="E13" t="s">
        <v>7</v>
      </c>
      <c r="F13" t="s">
        <v>27</v>
      </c>
      <c r="G13" t="s">
        <v>28</v>
      </c>
    </row>
    <row r="14" spans="2:7" x14ac:dyDescent="0.25">
      <c r="B14" t="s">
        <v>6</v>
      </c>
      <c r="C14" t="s">
        <v>29</v>
      </c>
      <c r="D14" t="str">
        <f t="shared" si="0"/>
        <v>0°-Pisces</v>
      </c>
      <c r="E14" t="s">
        <v>10</v>
      </c>
      <c r="F14" t="s">
        <v>29</v>
      </c>
      <c r="G14" t="s">
        <v>30</v>
      </c>
    </row>
    <row r="15" spans="2:7" x14ac:dyDescent="0.25">
      <c r="B15" s="2" t="s">
        <v>31</v>
      </c>
      <c r="C15" t="s">
        <v>7</v>
      </c>
      <c r="D15" t="str">
        <f t="shared" si="0"/>
        <v>1°-Aries</v>
      </c>
      <c r="E15" t="s">
        <v>9</v>
      </c>
      <c r="F15" t="s">
        <v>7</v>
      </c>
      <c r="G15" t="s">
        <v>8</v>
      </c>
    </row>
    <row r="16" spans="2:7" x14ac:dyDescent="0.25">
      <c r="B16" s="2" t="s">
        <v>31</v>
      </c>
      <c r="C16" t="s">
        <v>9</v>
      </c>
      <c r="D16" t="str">
        <f t="shared" si="0"/>
        <v>1°-Taurus</v>
      </c>
      <c r="E16" t="s">
        <v>21</v>
      </c>
      <c r="F16" t="s">
        <v>9</v>
      </c>
      <c r="G16" t="s">
        <v>11</v>
      </c>
    </row>
    <row r="17" spans="2:7" x14ac:dyDescent="0.25">
      <c r="B17" s="2" t="s">
        <v>31</v>
      </c>
      <c r="C17" t="s">
        <v>12</v>
      </c>
      <c r="D17" t="str">
        <f t="shared" si="0"/>
        <v>1°-Gemini</v>
      </c>
      <c r="E17" t="s">
        <v>9</v>
      </c>
      <c r="F17" t="s">
        <v>12</v>
      </c>
      <c r="G17" t="s">
        <v>13</v>
      </c>
    </row>
    <row r="18" spans="2:7" x14ac:dyDescent="0.25">
      <c r="B18" s="2" t="s">
        <v>31</v>
      </c>
      <c r="C18" t="s">
        <v>14</v>
      </c>
      <c r="D18" t="str">
        <f t="shared" si="0"/>
        <v>1°-Cancer</v>
      </c>
      <c r="E18" t="s">
        <v>21</v>
      </c>
      <c r="F18" t="s">
        <v>14</v>
      </c>
      <c r="G18" t="s">
        <v>15</v>
      </c>
    </row>
    <row r="19" spans="2:7" x14ac:dyDescent="0.25">
      <c r="B19" s="2" t="s">
        <v>31</v>
      </c>
      <c r="C19" t="s">
        <v>16</v>
      </c>
      <c r="D19" t="str">
        <f t="shared" si="0"/>
        <v>1°-Leo</v>
      </c>
      <c r="E19" t="s">
        <v>9</v>
      </c>
      <c r="F19" t="s">
        <v>16</v>
      </c>
      <c r="G19" t="s">
        <v>17</v>
      </c>
    </row>
    <row r="20" spans="2:7" x14ac:dyDescent="0.25">
      <c r="B20" s="2" t="s">
        <v>31</v>
      </c>
      <c r="C20" t="s">
        <v>18</v>
      </c>
      <c r="D20" t="str">
        <f t="shared" si="0"/>
        <v>1°-Virgo</v>
      </c>
      <c r="E20" t="s">
        <v>21</v>
      </c>
      <c r="F20" t="s">
        <v>18</v>
      </c>
      <c r="G20" t="s">
        <v>19</v>
      </c>
    </row>
    <row r="21" spans="2:7" x14ac:dyDescent="0.25">
      <c r="B21" s="2" t="s">
        <v>31</v>
      </c>
      <c r="C21" t="s">
        <v>10</v>
      </c>
      <c r="D21" t="str">
        <f t="shared" si="0"/>
        <v>1°-Libra</v>
      </c>
      <c r="E21" t="s">
        <v>9</v>
      </c>
      <c r="F21" t="s">
        <v>10</v>
      </c>
      <c r="G21" t="s">
        <v>20</v>
      </c>
    </row>
    <row r="22" spans="2:7" x14ac:dyDescent="0.25">
      <c r="B22" s="2" t="s">
        <v>31</v>
      </c>
      <c r="C22" t="s">
        <v>21</v>
      </c>
      <c r="D22" t="str">
        <f t="shared" si="0"/>
        <v>1°-Scorpio</v>
      </c>
      <c r="E22" t="s">
        <v>21</v>
      </c>
      <c r="F22" t="s">
        <v>21</v>
      </c>
      <c r="G22" t="s">
        <v>22</v>
      </c>
    </row>
    <row r="23" spans="2:7" x14ac:dyDescent="0.25">
      <c r="B23" s="2" t="s">
        <v>31</v>
      </c>
      <c r="C23" t="s">
        <v>23</v>
      </c>
      <c r="D23" t="str">
        <f t="shared" si="0"/>
        <v>1°-Sagittarius</v>
      </c>
      <c r="E23" t="s">
        <v>9</v>
      </c>
      <c r="F23" t="s">
        <v>23</v>
      </c>
      <c r="G23" t="s">
        <v>24</v>
      </c>
    </row>
    <row r="24" spans="2:7" x14ac:dyDescent="0.25">
      <c r="B24" s="2" t="s">
        <v>31</v>
      </c>
      <c r="C24" t="s">
        <v>25</v>
      </c>
      <c r="D24" t="str">
        <f t="shared" si="0"/>
        <v>1°-Capricorn</v>
      </c>
      <c r="E24" t="s">
        <v>21</v>
      </c>
      <c r="F24" t="s">
        <v>25</v>
      </c>
      <c r="G24" t="s">
        <v>26</v>
      </c>
    </row>
    <row r="25" spans="2:7" x14ac:dyDescent="0.25">
      <c r="B25" s="2" t="s">
        <v>31</v>
      </c>
      <c r="C25" t="s">
        <v>27</v>
      </c>
      <c r="D25" t="str">
        <f t="shared" si="0"/>
        <v>1°-Aquarius</v>
      </c>
      <c r="E25" t="s">
        <v>9</v>
      </c>
      <c r="F25" t="s">
        <v>27</v>
      </c>
      <c r="G25" t="s">
        <v>28</v>
      </c>
    </row>
    <row r="26" spans="2:7" x14ac:dyDescent="0.25">
      <c r="B26" s="2" t="s">
        <v>31</v>
      </c>
      <c r="C26" t="s">
        <v>29</v>
      </c>
      <c r="D26" t="str">
        <f t="shared" si="0"/>
        <v>1°-Pisces</v>
      </c>
      <c r="E26" t="s">
        <v>21</v>
      </c>
      <c r="F26" t="s">
        <v>29</v>
      </c>
      <c r="G26" t="s">
        <v>30</v>
      </c>
    </row>
    <row r="27" spans="2:7" x14ac:dyDescent="0.25">
      <c r="B27" s="2" t="s">
        <v>32</v>
      </c>
      <c r="C27" t="s">
        <v>7</v>
      </c>
      <c r="D27" t="str">
        <f t="shared" si="0"/>
        <v>2°-Aries</v>
      </c>
      <c r="E27" t="s">
        <v>12</v>
      </c>
      <c r="F27" t="s">
        <v>7</v>
      </c>
      <c r="G27" t="s">
        <v>8</v>
      </c>
    </row>
    <row r="28" spans="2:7" x14ac:dyDescent="0.25">
      <c r="B28" s="2" t="s">
        <v>32</v>
      </c>
      <c r="C28" t="s">
        <v>9</v>
      </c>
      <c r="D28" t="str">
        <f t="shared" si="0"/>
        <v>2°-Taurus</v>
      </c>
      <c r="E28" t="s">
        <v>23</v>
      </c>
      <c r="F28" t="s">
        <v>9</v>
      </c>
      <c r="G28" t="s">
        <v>11</v>
      </c>
    </row>
    <row r="29" spans="2:7" x14ac:dyDescent="0.25">
      <c r="B29" s="2" t="s">
        <v>32</v>
      </c>
      <c r="C29" t="s">
        <v>12</v>
      </c>
      <c r="D29" t="str">
        <f t="shared" si="0"/>
        <v>2°-Gemini</v>
      </c>
      <c r="E29" t="s">
        <v>12</v>
      </c>
      <c r="F29" t="s">
        <v>12</v>
      </c>
      <c r="G29" t="s">
        <v>13</v>
      </c>
    </row>
    <row r="30" spans="2:7" x14ac:dyDescent="0.25">
      <c r="B30" s="2" t="s">
        <v>32</v>
      </c>
      <c r="C30" t="s">
        <v>14</v>
      </c>
      <c r="D30" t="str">
        <f t="shared" si="0"/>
        <v>2°-Cancer</v>
      </c>
      <c r="E30" t="s">
        <v>23</v>
      </c>
      <c r="F30" t="s">
        <v>14</v>
      </c>
      <c r="G30" t="s">
        <v>15</v>
      </c>
    </row>
    <row r="31" spans="2:7" x14ac:dyDescent="0.25">
      <c r="B31" s="2" t="s">
        <v>32</v>
      </c>
      <c r="C31" t="s">
        <v>16</v>
      </c>
      <c r="D31" t="str">
        <f t="shared" si="0"/>
        <v>2°-Leo</v>
      </c>
      <c r="E31" t="s">
        <v>12</v>
      </c>
      <c r="F31" t="s">
        <v>16</v>
      </c>
      <c r="G31" t="s">
        <v>17</v>
      </c>
    </row>
    <row r="32" spans="2:7" x14ac:dyDescent="0.25">
      <c r="B32" s="2" t="s">
        <v>32</v>
      </c>
      <c r="C32" t="s">
        <v>18</v>
      </c>
      <c r="D32" t="str">
        <f t="shared" si="0"/>
        <v>2°-Virgo</v>
      </c>
      <c r="E32" t="s">
        <v>23</v>
      </c>
      <c r="F32" t="s">
        <v>18</v>
      </c>
      <c r="G32" t="s">
        <v>19</v>
      </c>
    </row>
    <row r="33" spans="2:7" x14ac:dyDescent="0.25">
      <c r="B33" s="2" t="s">
        <v>32</v>
      </c>
      <c r="C33" t="s">
        <v>10</v>
      </c>
      <c r="D33" t="str">
        <f t="shared" si="0"/>
        <v>2°-Libra</v>
      </c>
      <c r="E33" t="s">
        <v>12</v>
      </c>
      <c r="F33" t="s">
        <v>10</v>
      </c>
      <c r="G33" t="s">
        <v>20</v>
      </c>
    </row>
    <row r="34" spans="2:7" x14ac:dyDescent="0.25">
      <c r="B34" s="2" t="s">
        <v>32</v>
      </c>
      <c r="C34" t="s">
        <v>21</v>
      </c>
      <c r="D34" t="str">
        <f t="shared" si="0"/>
        <v>2°-Scorpio</v>
      </c>
      <c r="E34" t="s">
        <v>23</v>
      </c>
      <c r="F34" t="s">
        <v>21</v>
      </c>
      <c r="G34" t="s">
        <v>22</v>
      </c>
    </row>
    <row r="35" spans="2:7" x14ac:dyDescent="0.25">
      <c r="B35" s="2" t="s">
        <v>32</v>
      </c>
      <c r="C35" t="s">
        <v>23</v>
      </c>
      <c r="D35" t="str">
        <f t="shared" si="0"/>
        <v>2°-Sagittarius</v>
      </c>
      <c r="E35" t="s">
        <v>12</v>
      </c>
      <c r="F35" t="s">
        <v>23</v>
      </c>
      <c r="G35" t="s">
        <v>24</v>
      </c>
    </row>
    <row r="36" spans="2:7" x14ac:dyDescent="0.25">
      <c r="B36" s="2" t="s">
        <v>32</v>
      </c>
      <c r="C36" t="s">
        <v>25</v>
      </c>
      <c r="D36" t="str">
        <f t="shared" si="0"/>
        <v>2°-Capricorn</v>
      </c>
      <c r="E36" t="s">
        <v>23</v>
      </c>
      <c r="F36" t="s">
        <v>25</v>
      </c>
      <c r="G36" t="s">
        <v>26</v>
      </c>
    </row>
    <row r="37" spans="2:7" x14ac:dyDescent="0.25">
      <c r="B37" s="2" t="s">
        <v>32</v>
      </c>
      <c r="C37" t="s">
        <v>27</v>
      </c>
      <c r="D37" t="str">
        <f t="shared" si="0"/>
        <v>2°-Aquarius</v>
      </c>
      <c r="E37" t="s">
        <v>12</v>
      </c>
      <c r="F37" t="s">
        <v>27</v>
      </c>
      <c r="G37" t="s">
        <v>28</v>
      </c>
    </row>
    <row r="38" spans="2:7" x14ac:dyDescent="0.25">
      <c r="B38" s="2" t="s">
        <v>32</v>
      </c>
      <c r="C38" t="s">
        <v>29</v>
      </c>
      <c r="D38" t="str">
        <f t="shared" si="0"/>
        <v>2°-Pisces</v>
      </c>
      <c r="E38" t="s">
        <v>23</v>
      </c>
      <c r="F38" t="s">
        <v>29</v>
      </c>
      <c r="G38" t="s">
        <v>30</v>
      </c>
    </row>
    <row r="39" spans="2:7" x14ac:dyDescent="0.25">
      <c r="B39" s="3" t="s">
        <v>33</v>
      </c>
      <c r="C39" s="4" t="s">
        <v>7</v>
      </c>
      <c r="D39" t="str">
        <f t="shared" si="0"/>
        <v>3°-Aries</v>
      </c>
      <c r="E39" s="4" t="s">
        <v>14</v>
      </c>
      <c r="F39" s="4" t="s">
        <v>7</v>
      </c>
      <c r="G39" s="4" t="s">
        <v>8</v>
      </c>
    </row>
    <row r="40" spans="2:7" x14ac:dyDescent="0.25">
      <c r="B40" s="3" t="s">
        <v>33</v>
      </c>
      <c r="C40" s="4" t="s">
        <v>9</v>
      </c>
      <c r="D40" t="str">
        <f t="shared" si="0"/>
        <v>3°-Taurus</v>
      </c>
      <c r="E40" s="4" t="s">
        <v>25</v>
      </c>
      <c r="F40" s="4" t="s">
        <v>9</v>
      </c>
      <c r="G40" s="4" t="s">
        <v>11</v>
      </c>
    </row>
    <row r="41" spans="2:7" x14ac:dyDescent="0.25">
      <c r="B41" s="3" t="s">
        <v>33</v>
      </c>
      <c r="C41" s="4" t="s">
        <v>12</v>
      </c>
      <c r="D41" t="str">
        <f t="shared" si="0"/>
        <v>3°-Gemini</v>
      </c>
      <c r="E41" s="4" t="s">
        <v>14</v>
      </c>
      <c r="F41" s="4" t="s">
        <v>12</v>
      </c>
      <c r="G41" s="4" t="s">
        <v>13</v>
      </c>
    </row>
    <row r="42" spans="2:7" x14ac:dyDescent="0.25">
      <c r="B42" s="3" t="s">
        <v>33</v>
      </c>
      <c r="C42" s="4" t="s">
        <v>14</v>
      </c>
      <c r="D42" t="str">
        <f t="shared" si="0"/>
        <v>3°-Cancer</v>
      </c>
      <c r="E42" s="4" t="s">
        <v>25</v>
      </c>
      <c r="F42" s="4" t="s">
        <v>14</v>
      </c>
      <c r="G42" s="4" t="s">
        <v>15</v>
      </c>
    </row>
    <row r="43" spans="2:7" x14ac:dyDescent="0.25">
      <c r="B43" s="3" t="s">
        <v>33</v>
      </c>
      <c r="C43" s="4" t="s">
        <v>16</v>
      </c>
      <c r="D43" t="str">
        <f t="shared" si="0"/>
        <v>3°-Leo</v>
      </c>
      <c r="E43" s="4" t="s">
        <v>14</v>
      </c>
      <c r="F43" s="4" t="s">
        <v>16</v>
      </c>
      <c r="G43" s="4" t="s">
        <v>17</v>
      </c>
    </row>
    <row r="44" spans="2:7" x14ac:dyDescent="0.25">
      <c r="B44" s="3" t="s">
        <v>33</v>
      </c>
      <c r="C44" s="4" t="s">
        <v>18</v>
      </c>
      <c r="D44" t="str">
        <f t="shared" si="0"/>
        <v>3°-Virgo</v>
      </c>
      <c r="E44" s="4" t="s">
        <v>25</v>
      </c>
      <c r="F44" s="4" t="s">
        <v>18</v>
      </c>
      <c r="G44" s="4" t="s">
        <v>19</v>
      </c>
    </row>
    <row r="45" spans="2:7" x14ac:dyDescent="0.25">
      <c r="B45" s="3" t="s">
        <v>33</v>
      </c>
      <c r="C45" s="4" t="s">
        <v>10</v>
      </c>
      <c r="D45" t="str">
        <f t="shared" si="0"/>
        <v>3°-Libra</v>
      </c>
      <c r="E45" s="4" t="s">
        <v>14</v>
      </c>
      <c r="F45" s="4" t="s">
        <v>10</v>
      </c>
      <c r="G45" s="4" t="s">
        <v>20</v>
      </c>
    </row>
    <row r="46" spans="2:7" x14ac:dyDescent="0.25">
      <c r="B46" s="3" t="s">
        <v>33</v>
      </c>
      <c r="C46" s="4" t="s">
        <v>21</v>
      </c>
      <c r="D46" t="str">
        <f t="shared" si="0"/>
        <v>3°-Scorpio</v>
      </c>
      <c r="E46" s="4" t="s">
        <v>25</v>
      </c>
      <c r="F46" s="4" t="s">
        <v>21</v>
      </c>
      <c r="G46" s="4" t="s">
        <v>22</v>
      </c>
    </row>
    <row r="47" spans="2:7" x14ac:dyDescent="0.25">
      <c r="B47" s="3" t="s">
        <v>33</v>
      </c>
      <c r="C47" s="4" t="s">
        <v>23</v>
      </c>
      <c r="D47" t="str">
        <f t="shared" si="0"/>
        <v>3°-Sagittarius</v>
      </c>
      <c r="E47" s="4" t="s">
        <v>14</v>
      </c>
      <c r="F47" s="4" t="s">
        <v>23</v>
      </c>
      <c r="G47" s="4" t="s">
        <v>24</v>
      </c>
    </row>
    <row r="48" spans="2:7" x14ac:dyDescent="0.25">
      <c r="B48" s="3" t="s">
        <v>33</v>
      </c>
      <c r="C48" s="4" t="s">
        <v>25</v>
      </c>
      <c r="D48" t="str">
        <f t="shared" si="0"/>
        <v>3°-Capricorn</v>
      </c>
      <c r="E48" s="4" t="s">
        <v>25</v>
      </c>
      <c r="F48" s="4" t="s">
        <v>25</v>
      </c>
      <c r="G48" s="4" t="s">
        <v>26</v>
      </c>
    </row>
    <row r="49" spans="2:7" x14ac:dyDescent="0.25">
      <c r="B49" s="3" t="s">
        <v>33</v>
      </c>
      <c r="C49" s="4" t="s">
        <v>27</v>
      </c>
      <c r="D49" t="str">
        <f t="shared" si="0"/>
        <v>3°-Aquarius</v>
      </c>
      <c r="E49" s="4" t="s">
        <v>14</v>
      </c>
      <c r="F49" s="4" t="s">
        <v>27</v>
      </c>
      <c r="G49" s="4" t="s">
        <v>28</v>
      </c>
    </row>
    <row r="50" spans="2:7" x14ac:dyDescent="0.25">
      <c r="B50" s="3" t="s">
        <v>33</v>
      </c>
      <c r="C50" s="4" t="s">
        <v>29</v>
      </c>
      <c r="D50" t="str">
        <f t="shared" si="0"/>
        <v>3°-Pisces</v>
      </c>
      <c r="E50" s="4" t="s">
        <v>25</v>
      </c>
      <c r="F50" s="4" t="s">
        <v>29</v>
      </c>
      <c r="G50" s="4" t="s">
        <v>30</v>
      </c>
    </row>
    <row r="51" spans="2:7" x14ac:dyDescent="0.25">
      <c r="B51" s="3" t="s">
        <v>34</v>
      </c>
      <c r="C51" s="4" t="s">
        <v>7</v>
      </c>
      <c r="D51" t="str">
        <f t="shared" si="0"/>
        <v>4°-Aries</v>
      </c>
      <c r="E51" s="4" t="s">
        <v>16</v>
      </c>
      <c r="F51" s="4" t="s">
        <v>7</v>
      </c>
      <c r="G51" s="4" t="s">
        <v>8</v>
      </c>
    </row>
    <row r="52" spans="2:7" x14ac:dyDescent="0.25">
      <c r="B52" s="3" t="s">
        <v>34</v>
      </c>
      <c r="C52" s="4" t="s">
        <v>9</v>
      </c>
      <c r="D52" t="str">
        <f t="shared" si="0"/>
        <v>4°-Taurus</v>
      </c>
      <c r="E52" s="4" t="s">
        <v>27</v>
      </c>
      <c r="F52" s="4" t="s">
        <v>9</v>
      </c>
      <c r="G52" s="4" t="s">
        <v>11</v>
      </c>
    </row>
    <row r="53" spans="2:7" x14ac:dyDescent="0.25">
      <c r="B53" s="3" t="s">
        <v>34</v>
      </c>
      <c r="C53" s="4" t="s">
        <v>12</v>
      </c>
      <c r="D53" t="str">
        <f t="shared" si="0"/>
        <v>4°-Gemini</v>
      </c>
      <c r="E53" s="4" t="s">
        <v>16</v>
      </c>
      <c r="F53" s="4" t="s">
        <v>12</v>
      </c>
      <c r="G53" s="4" t="s">
        <v>13</v>
      </c>
    </row>
    <row r="54" spans="2:7" x14ac:dyDescent="0.25">
      <c r="B54" s="3" t="s">
        <v>34</v>
      </c>
      <c r="C54" s="4" t="s">
        <v>14</v>
      </c>
      <c r="D54" t="str">
        <f t="shared" si="0"/>
        <v>4°-Cancer</v>
      </c>
      <c r="E54" s="4" t="s">
        <v>27</v>
      </c>
      <c r="F54" s="4" t="s">
        <v>14</v>
      </c>
      <c r="G54" s="4" t="s">
        <v>15</v>
      </c>
    </row>
    <row r="55" spans="2:7" x14ac:dyDescent="0.25">
      <c r="B55" s="3" t="s">
        <v>34</v>
      </c>
      <c r="C55" s="4" t="s">
        <v>16</v>
      </c>
      <c r="D55" t="str">
        <f t="shared" si="0"/>
        <v>4°-Leo</v>
      </c>
      <c r="E55" s="4" t="s">
        <v>16</v>
      </c>
      <c r="F55" s="4" t="s">
        <v>16</v>
      </c>
      <c r="G55" s="4" t="s">
        <v>17</v>
      </c>
    </row>
    <row r="56" spans="2:7" x14ac:dyDescent="0.25">
      <c r="B56" s="3" t="s">
        <v>34</v>
      </c>
      <c r="C56" s="4" t="s">
        <v>18</v>
      </c>
      <c r="D56" t="str">
        <f t="shared" si="0"/>
        <v>4°-Virgo</v>
      </c>
      <c r="E56" s="4" t="s">
        <v>27</v>
      </c>
      <c r="F56" s="4" t="s">
        <v>18</v>
      </c>
      <c r="G56" s="4" t="s">
        <v>19</v>
      </c>
    </row>
    <row r="57" spans="2:7" x14ac:dyDescent="0.25">
      <c r="B57" s="3" t="s">
        <v>34</v>
      </c>
      <c r="C57" s="4" t="s">
        <v>10</v>
      </c>
      <c r="D57" t="str">
        <f t="shared" si="0"/>
        <v>4°-Libra</v>
      </c>
      <c r="E57" s="4" t="s">
        <v>16</v>
      </c>
      <c r="F57" s="4" t="s">
        <v>10</v>
      </c>
      <c r="G57" s="4" t="s">
        <v>20</v>
      </c>
    </row>
    <row r="58" spans="2:7" x14ac:dyDescent="0.25">
      <c r="B58" s="3" t="s">
        <v>34</v>
      </c>
      <c r="C58" s="4" t="s">
        <v>21</v>
      </c>
      <c r="D58" t="str">
        <f t="shared" si="0"/>
        <v>4°-Scorpio</v>
      </c>
      <c r="E58" s="4" t="s">
        <v>27</v>
      </c>
      <c r="F58" s="4" t="s">
        <v>21</v>
      </c>
      <c r="G58" s="4" t="s">
        <v>22</v>
      </c>
    </row>
    <row r="59" spans="2:7" x14ac:dyDescent="0.25">
      <c r="B59" s="3" t="s">
        <v>34</v>
      </c>
      <c r="C59" s="4" t="s">
        <v>23</v>
      </c>
      <c r="D59" t="str">
        <f t="shared" si="0"/>
        <v>4°-Sagittarius</v>
      </c>
      <c r="E59" s="4" t="s">
        <v>16</v>
      </c>
      <c r="F59" s="4" t="s">
        <v>23</v>
      </c>
      <c r="G59" s="4" t="s">
        <v>24</v>
      </c>
    </row>
    <row r="60" spans="2:7" x14ac:dyDescent="0.25">
      <c r="B60" s="3" t="s">
        <v>34</v>
      </c>
      <c r="C60" s="4" t="s">
        <v>25</v>
      </c>
      <c r="D60" t="str">
        <f t="shared" si="0"/>
        <v>4°-Capricorn</v>
      </c>
      <c r="E60" s="4" t="s">
        <v>27</v>
      </c>
      <c r="F60" s="4" t="s">
        <v>25</v>
      </c>
      <c r="G60" s="4" t="s">
        <v>26</v>
      </c>
    </row>
    <row r="61" spans="2:7" x14ac:dyDescent="0.25">
      <c r="B61" s="3" t="s">
        <v>34</v>
      </c>
      <c r="C61" s="4" t="s">
        <v>27</v>
      </c>
      <c r="D61" t="str">
        <f t="shared" si="0"/>
        <v>4°-Aquarius</v>
      </c>
      <c r="E61" s="4" t="s">
        <v>16</v>
      </c>
      <c r="F61" s="4" t="s">
        <v>27</v>
      </c>
      <c r="G61" s="4" t="s">
        <v>28</v>
      </c>
    </row>
    <row r="62" spans="2:7" x14ac:dyDescent="0.25">
      <c r="B62" s="3" t="s">
        <v>34</v>
      </c>
      <c r="C62" s="4" t="s">
        <v>29</v>
      </c>
      <c r="D62" t="str">
        <f t="shared" si="0"/>
        <v>4°-Pisces</v>
      </c>
      <c r="E62" s="4" t="s">
        <v>27</v>
      </c>
      <c r="F62" s="4" t="s">
        <v>29</v>
      </c>
      <c r="G62" s="4" t="s">
        <v>30</v>
      </c>
    </row>
    <row r="63" spans="2:7" x14ac:dyDescent="0.25">
      <c r="B63" s="3" t="s">
        <v>35</v>
      </c>
      <c r="C63" s="4" t="s">
        <v>7</v>
      </c>
      <c r="D63" t="str">
        <f t="shared" si="0"/>
        <v>5°-Aries</v>
      </c>
      <c r="E63" t="s">
        <v>18</v>
      </c>
      <c r="F63" s="4" t="s">
        <v>7</v>
      </c>
      <c r="G63" s="4" t="s">
        <v>8</v>
      </c>
    </row>
    <row r="64" spans="2:7" x14ac:dyDescent="0.25">
      <c r="B64" s="3" t="s">
        <v>35</v>
      </c>
      <c r="C64" s="4" t="s">
        <v>9</v>
      </c>
      <c r="D64" t="str">
        <f t="shared" si="0"/>
        <v>5°-Taurus</v>
      </c>
      <c r="E64" t="s">
        <v>29</v>
      </c>
      <c r="F64" s="4" t="s">
        <v>9</v>
      </c>
      <c r="G64" s="4" t="s">
        <v>11</v>
      </c>
    </row>
    <row r="65" spans="2:7" x14ac:dyDescent="0.25">
      <c r="B65" s="3" t="s">
        <v>35</v>
      </c>
      <c r="C65" s="4" t="s">
        <v>12</v>
      </c>
      <c r="D65" t="str">
        <f t="shared" si="0"/>
        <v>5°-Gemini</v>
      </c>
      <c r="E65" t="s">
        <v>18</v>
      </c>
      <c r="F65" s="4" t="s">
        <v>12</v>
      </c>
      <c r="G65" s="4" t="s">
        <v>13</v>
      </c>
    </row>
    <row r="66" spans="2:7" x14ac:dyDescent="0.25">
      <c r="B66" s="3" t="s">
        <v>35</v>
      </c>
      <c r="C66" s="4" t="s">
        <v>14</v>
      </c>
      <c r="D66" t="str">
        <f t="shared" si="0"/>
        <v>5°-Cancer</v>
      </c>
      <c r="E66" t="s">
        <v>29</v>
      </c>
      <c r="F66" s="4" t="s">
        <v>14</v>
      </c>
      <c r="G66" s="4" t="s">
        <v>15</v>
      </c>
    </row>
    <row r="67" spans="2:7" x14ac:dyDescent="0.25">
      <c r="B67" s="3" t="s">
        <v>35</v>
      </c>
      <c r="C67" s="4" t="s">
        <v>16</v>
      </c>
      <c r="D67" t="str">
        <f t="shared" si="0"/>
        <v>5°-Leo</v>
      </c>
      <c r="E67" t="s">
        <v>18</v>
      </c>
      <c r="F67" s="4" t="s">
        <v>16</v>
      </c>
      <c r="G67" s="4" t="s">
        <v>17</v>
      </c>
    </row>
    <row r="68" spans="2:7" x14ac:dyDescent="0.25">
      <c r="B68" s="3" t="s">
        <v>35</v>
      </c>
      <c r="C68" s="4" t="s">
        <v>18</v>
      </c>
      <c r="D68" t="str">
        <f t="shared" ref="D68:D131" si="1">B68&amp;"-"&amp;C68</f>
        <v>5°-Virgo</v>
      </c>
      <c r="E68" t="s">
        <v>29</v>
      </c>
      <c r="F68" s="4" t="s">
        <v>18</v>
      </c>
      <c r="G68" s="4" t="s">
        <v>19</v>
      </c>
    </row>
    <row r="69" spans="2:7" x14ac:dyDescent="0.25">
      <c r="B69" s="3" t="s">
        <v>35</v>
      </c>
      <c r="C69" s="4" t="s">
        <v>10</v>
      </c>
      <c r="D69" t="str">
        <f t="shared" si="1"/>
        <v>5°-Libra</v>
      </c>
      <c r="E69" t="s">
        <v>18</v>
      </c>
      <c r="F69" s="4" t="s">
        <v>10</v>
      </c>
      <c r="G69" s="4" t="s">
        <v>20</v>
      </c>
    </row>
    <row r="70" spans="2:7" x14ac:dyDescent="0.25">
      <c r="B70" s="3" t="s">
        <v>35</v>
      </c>
      <c r="C70" s="4" t="s">
        <v>21</v>
      </c>
      <c r="D70" t="str">
        <f t="shared" si="1"/>
        <v>5°-Scorpio</v>
      </c>
      <c r="E70" t="s">
        <v>29</v>
      </c>
      <c r="F70" s="4" t="s">
        <v>21</v>
      </c>
      <c r="G70" s="4" t="s">
        <v>22</v>
      </c>
    </row>
    <row r="71" spans="2:7" x14ac:dyDescent="0.25">
      <c r="B71" s="3" t="s">
        <v>35</v>
      </c>
      <c r="C71" s="4" t="s">
        <v>23</v>
      </c>
      <c r="D71" t="str">
        <f t="shared" si="1"/>
        <v>5°-Sagittarius</v>
      </c>
      <c r="E71" t="s">
        <v>18</v>
      </c>
      <c r="F71" s="4" t="s">
        <v>23</v>
      </c>
      <c r="G71" s="4" t="s">
        <v>24</v>
      </c>
    </row>
    <row r="72" spans="2:7" x14ac:dyDescent="0.25">
      <c r="B72" s="3" t="s">
        <v>35</v>
      </c>
      <c r="C72" s="4" t="s">
        <v>25</v>
      </c>
      <c r="D72" t="str">
        <f t="shared" si="1"/>
        <v>5°-Capricorn</v>
      </c>
      <c r="E72" t="s">
        <v>29</v>
      </c>
      <c r="F72" s="4" t="s">
        <v>25</v>
      </c>
      <c r="G72" s="4" t="s">
        <v>26</v>
      </c>
    </row>
    <row r="73" spans="2:7" x14ac:dyDescent="0.25">
      <c r="B73" s="3" t="s">
        <v>35</v>
      </c>
      <c r="C73" s="4" t="s">
        <v>27</v>
      </c>
      <c r="D73" t="str">
        <f t="shared" si="1"/>
        <v>5°-Aquarius</v>
      </c>
      <c r="E73" t="s">
        <v>18</v>
      </c>
      <c r="F73" s="4" t="s">
        <v>27</v>
      </c>
      <c r="G73" s="4" t="s">
        <v>28</v>
      </c>
    </row>
    <row r="74" spans="2:7" x14ac:dyDescent="0.25">
      <c r="B74" s="3" t="s">
        <v>35</v>
      </c>
      <c r="C74" s="4" t="s">
        <v>29</v>
      </c>
      <c r="D74" t="str">
        <f t="shared" si="1"/>
        <v>5°-Pisces</v>
      </c>
      <c r="E74" t="s">
        <v>29</v>
      </c>
      <c r="F74" s="4" t="s">
        <v>29</v>
      </c>
      <c r="G74" s="4" t="s">
        <v>30</v>
      </c>
    </row>
    <row r="75" spans="2:7" x14ac:dyDescent="0.25">
      <c r="B75" s="3" t="s">
        <v>36</v>
      </c>
      <c r="C75" s="4" t="s">
        <v>7</v>
      </c>
      <c r="D75" t="str">
        <f t="shared" si="1"/>
        <v>6°-Aries</v>
      </c>
      <c r="E75" s="4" t="s">
        <v>10</v>
      </c>
      <c r="F75" s="4" t="s">
        <v>7</v>
      </c>
      <c r="G75" s="4" t="s">
        <v>8</v>
      </c>
    </row>
    <row r="76" spans="2:7" x14ac:dyDescent="0.25">
      <c r="B76" s="3" t="s">
        <v>36</v>
      </c>
      <c r="C76" s="4" t="s">
        <v>9</v>
      </c>
      <c r="D76" t="str">
        <f t="shared" si="1"/>
        <v>6°-Taurus</v>
      </c>
      <c r="E76" s="4" t="s">
        <v>7</v>
      </c>
      <c r="F76" s="4" t="s">
        <v>9</v>
      </c>
      <c r="G76" s="4" t="s">
        <v>11</v>
      </c>
    </row>
    <row r="77" spans="2:7" x14ac:dyDescent="0.25">
      <c r="B77" s="3" t="s">
        <v>36</v>
      </c>
      <c r="C77" s="4" t="s">
        <v>12</v>
      </c>
      <c r="D77" t="str">
        <f t="shared" si="1"/>
        <v>6°-Gemini</v>
      </c>
      <c r="E77" s="4" t="s">
        <v>10</v>
      </c>
      <c r="F77" s="4" t="s">
        <v>12</v>
      </c>
      <c r="G77" s="4" t="s">
        <v>13</v>
      </c>
    </row>
    <row r="78" spans="2:7" x14ac:dyDescent="0.25">
      <c r="B78" s="3" t="s">
        <v>36</v>
      </c>
      <c r="C78" s="4" t="s">
        <v>14</v>
      </c>
      <c r="D78" t="str">
        <f t="shared" si="1"/>
        <v>6°-Cancer</v>
      </c>
      <c r="E78" s="4" t="s">
        <v>7</v>
      </c>
      <c r="F78" s="4" t="s">
        <v>14</v>
      </c>
      <c r="G78" s="4" t="s">
        <v>15</v>
      </c>
    </row>
    <row r="79" spans="2:7" x14ac:dyDescent="0.25">
      <c r="B79" s="3" t="s">
        <v>36</v>
      </c>
      <c r="C79" s="4" t="s">
        <v>16</v>
      </c>
      <c r="D79" t="str">
        <f t="shared" si="1"/>
        <v>6°-Leo</v>
      </c>
      <c r="E79" s="4" t="s">
        <v>10</v>
      </c>
      <c r="F79" s="4" t="s">
        <v>16</v>
      </c>
      <c r="G79" s="4" t="s">
        <v>17</v>
      </c>
    </row>
    <row r="80" spans="2:7" x14ac:dyDescent="0.25">
      <c r="B80" s="3" t="s">
        <v>36</v>
      </c>
      <c r="C80" s="4" t="s">
        <v>18</v>
      </c>
      <c r="D80" t="str">
        <f t="shared" si="1"/>
        <v>6°-Virgo</v>
      </c>
      <c r="E80" s="4" t="s">
        <v>7</v>
      </c>
      <c r="F80" s="4" t="s">
        <v>18</v>
      </c>
      <c r="G80" s="4" t="s">
        <v>19</v>
      </c>
    </row>
    <row r="81" spans="2:7" x14ac:dyDescent="0.25">
      <c r="B81" s="3" t="s">
        <v>36</v>
      </c>
      <c r="C81" s="4" t="s">
        <v>10</v>
      </c>
      <c r="D81" t="str">
        <f t="shared" si="1"/>
        <v>6°-Libra</v>
      </c>
      <c r="E81" s="4" t="s">
        <v>10</v>
      </c>
      <c r="F81" s="4" t="s">
        <v>10</v>
      </c>
      <c r="G81" s="4" t="s">
        <v>20</v>
      </c>
    </row>
    <row r="82" spans="2:7" x14ac:dyDescent="0.25">
      <c r="B82" s="3" t="s">
        <v>36</v>
      </c>
      <c r="C82" s="4" t="s">
        <v>21</v>
      </c>
      <c r="D82" t="str">
        <f t="shared" si="1"/>
        <v>6°-Scorpio</v>
      </c>
      <c r="E82" s="4" t="s">
        <v>7</v>
      </c>
      <c r="F82" s="4" t="s">
        <v>21</v>
      </c>
      <c r="G82" s="4" t="s">
        <v>22</v>
      </c>
    </row>
    <row r="83" spans="2:7" x14ac:dyDescent="0.25">
      <c r="B83" s="3" t="s">
        <v>36</v>
      </c>
      <c r="C83" s="4" t="s">
        <v>23</v>
      </c>
      <c r="D83" t="str">
        <f t="shared" si="1"/>
        <v>6°-Sagittarius</v>
      </c>
      <c r="E83" s="4" t="s">
        <v>10</v>
      </c>
      <c r="F83" s="4" t="s">
        <v>23</v>
      </c>
      <c r="G83" s="4" t="s">
        <v>24</v>
      </c>
    </row>
    <row r="84" spans="2:7" x14ac:dyDescent="0.25">
      <c r="B84" s="3" t="s">
        <v>36</v>
      </c>
      <c r="C84" s="4" t="s">
        <v>25</v>
      </c>
      <c r="D84" t="str">
        <f t="shared" si="1"/>
        <v>6°-Capricorn</v>
      </c>
      <c r="E84" s="4" t="s">
        <v>7</v>
      </c>
      <c r="F84" s="4" t="s">
        <v>25</v>
      </c>
      <c r="G84" s="4" t="s">
        <v>26</v>
      </c>
    </row>
    <row r="85" spans="2:7" x14ac:dyDescent="0.25">
      <c r="B85" s="3" t="s">
        <v>36</v>
      </c>
      <c r="C85" s="4" t="s">
        <v>27</v>
      </c>
      <c r="D85" t="str">
        <f t="shared" si="1"/>
        <v>6°-Aquarius</v>
      </c>
      <c r="E85" s="4" t="s">
        <v>10</v>
      </c>
      <c r="F85" s="4" t="s">
        <v>27</v>
      </c>
      <c r="G85" s="4" t="s">
        <v>28</v>
      </c>
    </row>
    <row r="86" spans="2:7" x14ac:dyDescent="0.25">
      <c r="B86" s="3" t="s">
        <v>36</v>
      </c>
      <c r="C86" s="4" t="s">
        <v>29</v>
      </c>
      <c r="D86" t="str">
        <f t="shared" si="1"/>
        <v>6°-Pisces</v>
      </c>
      <c r="E86" s="4" t="s">
        <v>7</v>
      </c>
      <c r="F86" s="4" t="s">
        <v>29</v>
      </c>
      <c r="G86" s="4" t="s">
        <v>30</v>
      </c>
    </row>
    <row r="87" spans="2:7" x14ac:dyDescent="0.25">
      <c r="B87" s="3" t="s">
        <v>37</v>
      </c>
      <c r="C87" s="4" t="s">
        <v>7</v>
      </c>
      <c r="D87" t="str">
        <f t="shared" si="1"/>
        <v>7°-Aries</v>
      </c>
      <c r="E87" s="4" t="s">
        <v>21</v>
      </c>
      <c r="F87" s="4" t="s">
        <v>7</v>
      </c>
      <c r="G87" s="4" t="s">
        <v>8</v>
      </c>
    </row>
    <row r="88" spans="2:7" x14ac:dyDescent="0.25">
      <c r="B88" s="3" t="s">
        <v>37</v>
      </c>
      <c r="C88" s="4" t="s">
        <v>9</v>
      </c>
      <c r="D88" t="str">
        <f t="shared" si="1"/>
        <v>7°-Taurus</v>
      </c>
      <c r="E88" s="4" t="s">
        <v>9</v>
      </c>
      <c r="F88" s="4" t="s">
        <v>9</v>
      </c>
      <c r="G88" s="4" t="s">
        <v>11</v>
      </c>
    </row>
    <row r="89" spans="2:7" x14ac:dyDescent="0.25">
      <c r="B89" s="3" t="s">
        <v>37</v>
      </c>
      <c r="C89" s="4" t="s">
        <v>12</v>
      </c>
      <c r="D89" t="str">
        <f t="shared" si="1"/>
        <v>7°-Gemini</v>
      </c>
      <c r="E89" s="4" t="s">
        <v>21</v>
      </c>
      <c r="F89" s="4" t="s">
        <v>12</v>
      </c>
      <c r="G89" s="4" t="s">
        <v>13</v>
      </c>
    </row>
    <row r="90" spans="2:7" x14ac:dyDescent="0.25">
      <c r="B90" s="3" t="s">
        <v>37</v>
      </c>
      <c r="C90" s="4" t="s">
        <v>14</v>
      </c>
      <c r="D90" t="str">
        <f t="shared" si="1"/>
        <v>7°-Cancer</v>
      </c>
      <c r="E90" s="4" t="s">
        <v>9</v>
      </c>
      <c r="F90" s="4" t="s">
        <v>14</v>
      </c>
      <c r="G90" s="4" t="s">
        <v>15</v>
      </c>
    </row>
    <row r="91" spans="2:7" x14ac:dyDescent="0.25">
      <c r="B91" s="3" t="s">
        <v>37</v>
      </c>
      <c r="C91" s="4" t="s">
        <v>16</v>
      </c>
      <c r="D91" t="str">
        <f t="shared" si="1"/>
        <v>7°-Leo</v>
      </c>
      <c r="E91" s="4" t="s">
        <v>21</v>
      </c>
      <c r="F91" s="4" t="s">
        <v>16</v>
      </c>
      <c r="G91" s="4" t="s">
        <v>17</v>
      </c>
    </row>
    <row r="92" spans="2:7" x14ac:dyDescent="0.25">
      <c r="B92" s="3" t="s">
        <v>37</v>
      </c>
      <c r="C92" s="4" t="s">
        <v>18</v>
      </c>
      <c r="D92" t="str">
        <f t="shared" si="1"/>
        <v>7°-Virgo</v>
      </c>
      <c r="E92" s="4" t="s">
        <v>9</v>
      </c>
      <c r="F92" s="4" t="s">
        <v>18</v>
      </c>
      <c r="G92" s="4" t="s">
        <v>19</v>
      </c>
    </row>
    <row r="93" spans="2:7" x14ac:dyDescent="0.25">
      <c r="B93" s="3" t="s">
        <v>37</v>
      </c>
      <c r="C93" s="4" t="s">
        <v>10</v>
      </c>
      <c r="D93" t="str">
        <f t="shared" si="1"/>
        <v>7°-Libra</v>
      </c>
      <c r="E93" s="4" t="s">
        <v>21</v>
      </c>
      <c r="F93" s="4" t="s">
        <v>10</v>
      </c>
      <c r="G93" s="4" t="s">
        <v>20</v>
      </c>
    </row>
    <row r="94" spans="2:7" x14ac:dyDescent="0.25">
      <c r="B94" s="3" t="s">
        <v>37</v>
      </c>
      <c r="C94" s="4" t="s">
        <v>21</v>
      </c>
      <c r="D94" t="str">
        <f t="shared" si="1"/>
        <v>7°-Scorpio</v>
      </c>
      <c r="E94" s="4" t="s">
        <v>9</v>
      </c>
      <c r="F94" s="4" t="s">
        <v>21</v>
      </c>
      <c r="G94" s="4" t="s">
        <v>22</v>
      </c>
    </row>
    <row r="95" spans="2:7" x14ac:dyDescent="0.25">
      <c r="B95" s="3" t="s">
        <v>37</v>
      </c>
      <c r="C95" s="4" t="s">
        <v>23</v>
      </c>
      <c r="D95" t="str">
        <f t="shared" si="1"/>
        <v>7°-Sagittarius</v>
      </c>
      <c r="E95" s="4" t="s">
        <v>21</v>
      </c>
      <c r="F95" s="4" t="s">
        <v>23</v>
      </c>
      <c r="G95" s="4" t="s">
        <v>24</v>
      </c>
    </row>
    <row r="96" spans="2:7" x14ac:dyDescent="0.25">
      <c r="B96" s="3" t="s">
        <v>37</v>
      </c>
      <c r="C96" s="4" t="s">
        <v>25</v>
      </c>
      <c r="D96" t="str">
        <f t="shared" si="1"/>
        <v>7°-Capricorn</v>
      </c>
      <c r="E96" s="4" t="s">
        <v>9</v>
      </c>
      <c r="F96" s="4" t="s">
        <v>25</v>
      </c>
      <c r="G96" s="4" t="s">
        <v>26</v>
      </c>
    </row>
    <row r="97" spans="2:7" x14ac:dyDescent="0.25">
      <c r="B97" s="3" t="s">
        <v>37</v>
      </c>
      <c r="C97" s="4" t="s">
        <v>27</v>
      </c>
      <c r="D97" t="str">
        <f t="shared" si="1"/>
        <v>7°-Aquarius</v>
      </c>
      <c r="E97" s="4" t="s">
        <v>21</v>
      </c>
      <c r="F97" s="4" t="s">
        <v>27</v>
      </c>
      <c r="G97" s="4" t="s">
        <v>28</v>
      </c>
    </row>
    <row r="98" spans="2:7" x14ac:dyDescent="0.25">
      <c r="B98" s="3" t="s">
        <v>37</v>
      </c>
      <c r="C98" s="4" t="s">
        <v>29</v>
      </c>
      <c r="D98" t="str">
        <f t="shared" si="1"/>
        <v>7°-Pisces</v>
      </c>
      <c r="E98" s="4" t="s">
        <v>9</v>
      </c>
      <c r="F98" s="4" t="s">
        <v>29</v>
      </c>
      <c r="G98" s="4" t="s">
        <v>30</v>
      </c>
    </row>
    <row r="99" spans="2:7" x14ac:dyDescent="0.25">
      <c r="B99" s="3" t="s">
        <v>38</v>
      </c>
      <c r="C99" s="4" t="s">
        <v>7</v>
      </c>
      <c r="D99" t="str">
        <f t="shared" si="1"/>
        <v>8°-Aries</v>
      </c>
      <c r="E99" s="4" t="s">
        <v>23</v>
      </c>
      <c r="F99" s="4" t="s">
        <v>7</v>
      </c>
      <c r="G99" s="4" t="s">
        <v>8</v>
      </c>
    </row>
    <row r="100" spans="2:7" x14ac:dyDescent="0.25">
      <c r="B100" s="3" t="s">
        <v>38</v>
      </c>
      <c r="C100" s="4" t="s">
        <v>9</v>
      </c>
      <c r="D100" t="str">
        <f t="shared" si="1"/>
        <v>8°-Taurus</v>
      </c>
      <c r="E100" s="4" t="s">
        <v>12</v>
      </c>
      <c r="F100" s="4" t="s">
        <v>9</v>
      </c>
      <c r="G100" s="4" t="s">
        <v>11</v>
      </c>
    </row>
    <row r="101" spans="2:7" x14ac:dyDescent="0.25">
      <c r="B101" s="3" t="s">
        <v>38</v>
      </c>
      <c r="C101" s="4" t="s">
        <v>12</v>
      </c>
      <c r="D101" t="str">
        <f t="shared" si="1"/>
        <v>8°-Gemini</v>
      </c>
      <c r="E101" s="4" t="s">
        <v>23</v>
      </c>
      <c r="F101" s="4" t="s">
        <v>12</v>
      </c>
      <c r="G101" s="4" t="s">
        <v>13</v>
      </c>
    </row>
    <row r="102" spans="2:7" x14ac:dyDescent="0.25">
      <c r="B102" s="3" t="s">
        <v>38</v>
      </c>
      <c r="C102" s="4" t="s">
        <v>14</v>
      </c>
      <c r="D102" t="str">
        <f t="shared" si="1"/>
        <v>8°-Cancer</v>
      </c>
      <c r="E102" s="4" t="s">
        <v>12</v>
      </c>
      <c r="F102" s="4" t="s">
        <v>14</v>
      </c>
      <c r="G102" s="4" t="s">
        <v>15</v>
      </c>
    </row>
    <row r="103" spans="2:7" x14ac:dyDescent="0.25">
      <c r="B103" s="3" t="s">
        <v>38</v>
      </c>
      <c r="C103" s="4" t="s">
        <v>16</v>
      </c>
      <c r="D103" t="str">
        <f t="shared" si="1"/>
        <v>8°-Leo</v>
      </c>
      <c r="E103" s="4" t="s">
        <v>23</v>
      </c>
      <c r="F103" s="4" t="s">
        <v>16</v>
      </c>
      <c r="G103" s="4" t="s">
        <v>17</v>
      </c>
    </row>
    <row r="104" spans="2:7" x14ac:dyDescent="0.25">
      <c r="B104" s="3" t="s">
        <v>38</v>
      </c>
      <c r="C104" s="4" t="s">
        <v>18</v>
      </c>
      <c r="D104" t="str">
        <f t="shared" si="1"/>
        <v>8°-Virgo</v>
      </c>
      <c r="E104" s="4" t="s">
        <v>12</v>
      </c>
      <c r="F104" s="4" t="s">
        <v>18</v>
      </c>
      <c r="G104" s="4" t="s">
        <v>19</v>
      </c>
    </row>
    <row r="105" spans="2:7" x14ac:dyDescent="0.25">
      <c r="B105" s="3" t="s">
        <v>38</v>
      </c>
      <c r="C105" s="4" t="s">
        <v>10</v>
      </c>
      <c r="D105" t="str">
        <f t="shared" si="1"/>
        <v>8°-Libra</v>
      </c>
      <c r="E105" s="4" t="s">
        <v>23</v>
      </c>
      <c r="F105" s="4" t="s">
        <v>10</v>
      </c>
      <c r="G105" s="4" t="s">
        <v>20</v>
      </c>
    </row>
    <row r="106" spans="2:7" x14ac:dyDescent="0.25">
      <c r="B106" s="3" t="s">
        <v>38</v>
      </c>
      <c r="C106" s="4" t="s">
        <v>21</v>
      </c>
      <c r="D106" t="str">
        <f t="shared" si="1"/>
        <v>8°-Scorpio</v>
      </c>
      <c r="E106" s="4" t="s">
        <v>12</v>
      </c>
      <c r="F106" s="4" t="s">
        <v>21</v>
      </c>
      <c r="G106" s="4" t="s">
        <v>22</v>
      </c>
    </row>
    <row r="107" spans="2:7" x14ac:dyDescent="0.25">
      <c r="B107" s="3" t="s">
        <v>38</v>
      </c>
      <c r="C107" s="4" t="s">
        <v>23</v>
      </c>
      <c r="D107" t="str">
        <f t="shared" si="1"/>
        <v>8°-Sagittarius</v>
      </c>
      <c r="E107" s="4" t="s">
        <v>23</v>
      </c>
      <c r="F107" s="4" t="s">
        <v>23</v>
      </c>
      <c r="G107" s="4" t="s">
        <v>24</v>
      </c>
    </row>
    <row r="108" spans="2:7" x14ac:dyDescent="0.25">
      <c r="B108" s="3" t="s">
        <v>38</v>
      </c>
      <c r="C108" s="4" t="s">
        <v>25</v>
      </c>
      <c r="D108" t="str">
        <f t="shared" si="1"/>
        <v>8°-Capricorn</v>
      </c>
      <c r="E108" s="4" t="s">
        <v>12</v>
      </c>
      <c r="F108" s="4" t="s">
        <v>25</v>
      </c>
      <c r="G108" s="4" t="s">
        <v>26</v>
      </c>
    </row>
    <row r="109" spans="2:7" x14ac:dyDescent="0.25">
      <c r="B109" s="3" t="s">
        <v>38</v>
      </c>
      <c r="C109" s="4" t="s">
        <v>27</v>
      </c>
      <c r="D109" t="str">
        <f t="shared" si="1"/>
        <v>8°-Aquarius</v>
      </c>
      <c r="E109" s="4" t="s">
        <v>23</v>
      </c>
      <c r="F109" s="4" t="s">
        <v>27</v>
      </c>
      <c r="G109" s="4" t="s">
        <v>28</v>
      </c>
    </row>
    <row r="110" spans="2:7" x14ac:dyDescent="0.25">
      <c r="B110" s="3" t="s">
        <v>38</v>
      </c>
      <c r="C110" s="4" t="s">
        <v>29</v>
      </c>
      <c r="D110" t="str">
        <f t="shared" si="1"/>
        <v>8°-Pisces</v>
      </c>
      <c r="E110" s="4" t="s">
        <v>12</v>
      </c>
      <c r="F110" s="4" t="s">
        <v>29</v>
      </c>
      <c r="G110" s="4" t="s">
        <v>30</v>
      </c>
    </row>
    <row r="111" spans="2:7" x14ac:dyDescent="0.25">
      <c r="B111" s="3" t="s">
        <v>39</v>
      </c>
      <c r="C111" s="4" t="s">
        <v>7</v>
      </c>
      <c r="D111" t="str">
        <f t="shared" si="1"/>
        <v>9°-Aries</v>
      </c>
      <c r="E111" s="4" t="s">
        <v>25</v>
      </c>
      <c r="F111" s="4" t="s">
        <v>7</v>
      </c>
      <c r="G111" s="4" t="s">
        <v>8</v>
      </c>
    </row>
    <row r="112" spans="2:7" x14ac:dyDescent="0.25">
      <c r="B112" s="3" t="s">
        <v>39</v>
      </c>
      <c r="C112" s="4" t="s">
        <v>9</v>
      </c>
      <c r="D112" t="str">
        <f t="shared" si="1"/>
        <v>9°-Taurus</v>
      </c>
      <c r="E112" s="4" t="s">
        <v>14</v>
      </c>
      <c r="F112" s="4" t="s">
        <v>9</v>
      </c>
      <c r="G112" s="4" t="s">
        <v>11</v>
      </c>
    </row>
    <row r="113" spans="2:7" x14ac:dyDescent="0.25">
      <c r="B113" s="3" t="s">
        <v>39</v>
      </c>
      <c r="C113" s="4" t="s">
        <v>12</v>
      </c>
      <c r="D113" t="str">
        <f t="shared" si="1"/>
        <v>9°-Gemini</v>
      </c>
      <c r="E113" s="4" t="s">
        <v>25</v>
      </c>
      <c r="F113" s="4" t="s">
        <v>12</v>
      </c>
      <c r="G113" s="4" t="s">
        <v>13</v>
      </c>
    </row>
    <row r="114" spans="2:7" x14ac:dyDescent="0.25">
      <c r="B114" s="3" t="s">
        <v>39</v>
      </c>
      <c r="C114" s="4" t="s">
        <v>14</v>
      </c>
      <c r="D114" t="str">
        <f t="shared" si="1"/>
        <v>9°-Cancer</v>
      </c>
      <c r="E114" s="4" t="s">
        <v>14</v>
      </c>
      <c r="F114" s="4" t="s">
        <v>14</v>
      </c>
      <c r="G114" s="4" t="s">
        <v>15</v>
      </c>
    </row>
    <row r="115" spans="2:7" x14ac:dyDescent="0.25">
      <c r="B115" s="3" t="s">
        <v>39</v>
      </c>
      <c r="C115" s="4" t="s">
        <v>16</v>
      </c>
      <c r="D115" t="str">
        <f t="shared" si="1"/>
        <v>9°-Leo</v>
      </c>
      <c r="E115" s="4" t="s">
        <v>25</v>
      </c>
      <c r="F115" s="4" t="s">
        <v>16</v>
      </c>
      <c r="G115" s="4" t="s">
        <v>17</v>
      </c>
    </row>
    <row r="116" spans="2:7" x14ac:dyDescent="0.25">
      <c r="B116" s="3" t="s">
        <v>39</v>
      </c>
      <c r="C116" s="4" t="s">
        <v>18</v>
      </c>
      <c r="D116" t="str">
        <f t="shared" si="1"/>
        <v>9°-Virgo</v>
      </c>
      <c r="E116" s="4" t="s">
        <v>14</v>
      </c>
      <c r="F116" s="4" t="s">
        <v>18</v>
      </c>
      <c r="G116" s="4" t="s">
        <v>19</v>
      </c>
    </row>
    <row r="117" spans="2:7" x14ac:dyDescent="0.25">
      <c r="B117" s="3" t="s">
        <v>39</v>
      </c>
      <c r="C117" s="4" t="s">
        <v>10</v>
      </c>
      <c r="D117" t="str">
        <f t="shared" si="1"/>
        <v>9°-Libra</v>
      </c>
      <c r="E117" s="4" t="s">
        <v>25</v>
      </c>
      <c r="F117" s="4" t="s">
        <v>10</v>
      </c>
      <c r="G117" s="4" t="s">
        <v>20</v>
      </c>
    </row>
    <row r="118" spans="2:7" x14ac:dyDescent="0.25">
      <c r="B118" s="3" t="s">
        <v>39</v>
      </c>
      <c r="C118" s="4" t="s">
        <v>21</v>
      </c>
      <c r="D118" t="str">
        <f t="shared" si="1"/>
        <v>9°-Scorpio</v>
      </c>
      <c r="E118" s="4" t="s">
        <v>14</v>
      </c>
      <c r="F118" s="4" t="s">
        <v>21</v>
      </c>
      <c r="G118" s="4" t="s">
        <v>22</v>
      </c>
    </row>
    <row r="119" spans="2:7" x14ac:dyDescent="0.25">
      <c r="B119" s="3" t="s">
        <v>39</v>
      </c>
      <c r="C119" s="4" t="s">
        <v>23</v>
      </c>
      <c r="D119" t="str">
        <f t="shared" si="1"/>
        <v>9°-Sagittarius</v>
      </c>
      <c r="E119" s="4" t="s">
        <v>25</v>
      </c>
      <c r="F119" s="4" t="s">
        <v>23</v>
      </c>
      <c r="G119" s="4" t="s">
        <v>24</v>
      </c>
    </row>
    <row r="120" spans="2:7" x14ac:dyDescent="0.25">
      <c r="B120" s="3" t="s">
        <v>39</v>
      </c>
      <c r="C120" s="4" t="s">
        <v>25</v>
      </c>
      <c r="D120" t="str">
        <f t="shared" si="1"/>
        <v>9°-Capricorn</v>
      </c>
      <c r="E120" s="4" t="s">
        <v>14</v>
      </c>
      <c r="F120" s="4" t="s">
        <v>25</v>
      </c>
      <c r="G120" s="4" t="s">
        <v>26</v>
      </c>
    </row>
    <row r="121" spans="2:7" x14ac:dyDescent="0.25">
      <c r="B121" s="3" t="s">
        <v>39</v>
      </c>
      <c r="C121" s="4" t="s">
        <v>27</v>
      </c>
      <c r="D121" t="str">
        <f t="shared" si="1"/>
        <v>9°-Aquarius</v>
      </c>
      <c r="E121" s="4" t="s">
        <v>25</v>
      </c>
      <c r="F121" s="4" t="s">
        <v>27</v>
      </c>
      <c r="G121" s="4" t="s">
        <v>28</v>
      </c>
    </row>
    <row r="122" spans="2:7" x14ac:dyDescent="0.25">
      <c r="B122" s="3" t="s">
        <v>39</v>
      </c>
      <c r="C122" s="4" t="s">
        <v>29</v>
      </c>
      <c r="D122" t="str">
        <f t="shared" si="1"/>
        <v>9°-Pisces</v>
      </c>
      <c r="E122" s="4" t="s">
        <v>14</v>
      </c>
      <c r="F122" s="4" t="s">
        <v>29</v>
      </c>
      <c r="G122" s="4" t="s">
        <v>30</v>
      </c>
    </row>
    <row r="123" spans="2:7" x14ac:dyDescent="0.25">
      <c r="B123" s="3" t="s">
        <v>40</v>
      </c>
      <c r="C123" s="4" t="s">
        <v>7</v>
      </c>
      <c r="D123" t="str">
        <f t="shared" si="1"/>
        <v>10°-Aries</v>
      </c>
      <c r="E123" s="4" t="s">
        <v>27</v>
      </c>
      <c r="F123" s="4" t="s">
        <v>16</v>
      </c>
      <c r="G123" s="4" t="s">
        <v>17</v>
      </c>
    </row>
    <row r="124" spans="2:7" x14ac:dyDescent="0.25">
      <c r="B124" s="3" t="s">
        <v>40</v>
      </c>
      <c r="C124" s="4" t="s">
        <v>9</v>
      </c>
      <c r="D124" t="str">
        <f t="shared" si="1"/>
        <v>10°-Taurus</v>
      </c>
      <c r="E124" s="4" t="s">
        <v>16</v>
      </c>
      <c r="F124" s="4" t="s">
        <v>18</v>
      </c>
      <c r="G124" s="4" t="s">
        <v>19</v>
      </c>
    </row>
    <row r="125" spans="2:7" x14ac:dyDescent="0.25">
      <c r="B125" s="3" t="s">
        <v>40</v>
      </c>
      <c r="C125" s="4" t="s">
        <v>12</v>
      </c>
      <c r="D125" t="str">
        <f t="shared" si="1"/>
        <v>10°-Gemini</v>
      </c>
      <c r="E125" s="4" t="s">
        <v>27</v>
      </c>
      <c r="F125" s="4" t="s">
        <v>10</v>
      </c>
      <c r="G125" s="4" t="s">
        <v>20</v>
      </c>
    </row>
    <row r="126" spans="2:7" x14ac:dyDescent="0.25">
      <c r="B126" s="3" t="s">
        <v>40</v>
      </c>
      <c r="C126" s="4" t="s">
        <v>14</v>
      </c>
      <c r="D126" t="str">
        <f t="shared" si="1"/>
        <v>10°-Cancer</v>
      </c>
      <c r="E126" s="4" t="s">
        <v>16</v>
      </c>
      <c r="F126" s="4" t="s">
        <v>21</v>
      </c>
      <c r="G126" s="4" t="s">
        <v>22</v>
      </c>
    </row>
    <row r="127" spans="2:7" x14ac:dyDescent="0.25">
      <c r="B127" s="3" t="s">
        <v>40</v>
      </c>
      <c r="C127" s="4" t="s">
        <v>16</v>
      </c>
      <c r="D127" t="str">
        <f t="shared" si="1"/>
        <v>10°-Leo</v>
      </c>
      <c r="E127" s="4" t="s">
        <v>27</v>
      </c>
      <c r="F127" s="4" t="s">
        <v>23</v>
      </c>
      <c r="G127" s="4" t="s">
        <v>24</v>
      </c>
    </row>
    <row r="128" spans="2:7" x14ac:dyDescent="0.25">
      <c r="B128" s="3" t="s">
        <v>40</v>
      </c>
      <c r="C128" s="4" t="s">
        <v>18</v>
      </c>
      <c r="D128" t="str">
        <f t="shared" si="1"/>
        <v>10°-Virgo</v>
      </c>
      <c r="E128" s="4" t="s">
        <v>16</v>
      </c>
      <c r="F128" s="4" t="s">
        <v>25</v>
      </c>
      <c r="G128" s="4" t="s">
        <v>26</v>
      </c>
    </row>
    <row r="129" spans="2:7" x14ac:dyDescent="0.25">
      <c r="B129" s="3" t="s">
        <v>40</v>
      </c>
      <c r="C129" s="4" t="s">
        <v>10</v>
      </c>
      <c r="D129" t="str">
        <f t="shared" si="1"/>
        <v>10°-Libra</v>
      </c>
      <c r="E129" s="4" t="s">
        <v>27</v>
      </c>
      <c r="F129" s="4" t="s">
        <v>27</v>
      </c>
      <c r="G129" s="4" t="s">
        <v>28</v>
      </c>
    </row>
    <row r="130" spans="2:7" x14ac:dyDescent="0.25">
      <c r="B130" s="3" t="s">
        <v>40</v>
      </c>
      <c r="C130" s="4" t="s">
        <v>21</v>
      </c>
      <c r="D130" t="str">
        <f t="shared" si="1"/>
        <v>10°-Scorpio</v>
      </c>
      <c r="E130" s="4" t="s">
        <v>16</v>
      </c>
      <c r="F130" s="4" t="s">
        <v>29</v>
      </c>
      <c r="G130" s="4" t="s">
        <v>30</v>
      </c>
    </row>
    <row r="131" spans="2:7" x14ac:dyDescent="0.25">
      <c r="B131" s="3" t="s">
        <v>40</v>
      </c>
      <c r="C131" s="4" t="s">
        <v>23</v>
      </c>
      <c r="D131" t="str">
        <f t="shared" si="1"/>
        <v>10°-Sagittarius</v>
      </c>
      <c r="E131" s="4" t="s">
        <v>27</v>
      </c>
      <c r="F131" s="4" t="s">
        <v>7</v>
      </c>
      <c r="G131" s="4" t="s">
        <v>8</v>
      </c>
    </row>
    <row r="132" spans="2:7" x14ac:dyDescent="0.25">
      <c r="B132" s="3" t="s">
        <v>40</v>
      </c>
      <c r="C132" s="4" t="s">
        <v>25</v>
      </c>
      <c r="D132" t="str">
        <f t="shared" ref="D132:D195" si="2">B132&amp;"-"&amp;C132</f>
        <v>10°-Capricorn</v>
      </c>
      <c r="E132" s="4" t="s">
        <v>16</v>
      </c>
      <c r="F132" s="4" t="s">
        <v>9</v>
      </c>
      <c r="G132" s="4" t="s">
        <v>11</v>
      </c>
    </row>
    <row r="133" spans="2:7" x14ac:dyDescent="0.25">
      <c r="B133" s="3" t="s">
        <v>40</v>
      </c>
      <c r="C133" s="4" t="s">
        <v>27</v>
      </c>
      <c r="D133" t="str">
        <f t="shared" si="2"/>
        <v>10°-Aquarius</v>
      </c>
      <c r="E133" s="4" t="s">
        <v>27</v>
      </c>
      <c r="F133" s="4" t="s">
        <v>12</v>
      </c>
      <c r="G133" s="4" t="s">
        <v>13</v>
      </c>
    </row>
    <row r="134" spans="2:7" x14ac:dyDescent="0.25">
      <c r="B134" s="3" t="s">
        <v>40</v>
      </c>
      <c r="C134" s="4" t="s">
        <v>29</v>
      </c>
      <c r="D134" t="str">
        <f t="shared" si="2"/>
        <v>10°-Pisces</v>
      </c>
      <c r="E134" s="4" t="s">
        <v>16</v>
      </c>
      <c r="F134" s="4" t="s">
        <v>14</v>
      </c>
      <c r="G134" s="4" t="s">
        <v>15</v>
      </c>
    </row>
    <row r="135" spans="2:7" x14ac:dyDescent="0.25">
      <c r="B135" s="3" t="s">
        <v>41</v>
      </c>
      <c r="C135" s="4" t="s">
        <v>7</v>
      </c>
      <c r="D135" t="str">
        <f t="shared" si="2"/>
        <v>11°-Aries</v>
      </c>
      <c r="E135" s="4" t="s">
        <v>29</v>
      </c>
      <c r="F135" s="4" t="s">
        <v>16</v>
      </c>
      <c r="G135" s="4" t="s">
        <v>17</v>
      </c>
    </row>
    <row r="136" spans="2:7" x14ac:dyDescent="0.25">
      <c r="B136" s="3" t="s">
        <v>41</v>
      </c>
      <c r="C136" s="4" t="s">
        <v>9</v>
      </c>
      <c r="D136" t="str">
        <f t="shared" si="2"/>
        <v>11°-Taurus</v>
      </c>
      <c r="E136" s="4" t="s">
        <v>18</v>
      </c>
      <c r="F136" s="4" t="s">
        <v>18</v>
      </c>
      <c r="G136" s="4" t="s">
        <v>19</v>
      </c>
    </row>
    <row r="137" spans="2:7" x14ac:dyDescent="0.25">
      <c r="B137" s="3" t="s">
        <v>41</v>
      </c>
      <c r="C137" s="4" t="s">
        <v>12</v>
      </c>
      <c r="D137" t="str">
        <f t="shared" si="2"/>
        <v>11°-Gemini</v>
      </c>
      <c r="E137" s="4" t="s">
        <v>29</v>
      </c>
      <c r="F137" s="4" t="s">
        <v>10</v>
      </c>
      <c r="G137" s="4" t="s">
        <v>20</v>
      </c>
    </row>
    <row r="138" spans="2:7" x14ac:dyDescent="0.25">
      <c r="B138" s="3" t="s">
        <v>41</v>
      </c>
      <c r="C138" s="4" t="s">
        <v>14</v>
      </c>
      <c r="D138" t="str">
        <f t="shared" si="2"/>
        <v>11°-Cancer</v>
      </c>
      <c r="E138" s="4" t="s">
        <v>18</v>
      </c>
      <c r="F138" s="4" t="s">
        <v>21</v>
      </c>
      <c r="G138" s="4" t="s">
        <v>22</v>
      </c>
    </row>
    <row r="139" spans="2:7" x14ac:dyDescent="0.25">
      <c r="B139" s="3" t="s">
        <v>41</v>
      </c>
      <c r="C139" s="4" t="s">
        <v>16</v>
      </c>
      <c r="D139" t="str">
        <f t="shared" si="2"/>
        <v>11°-Leo</v>
      </c>
      <c r="E139" s="4" t="s">
        <v>29</v>
      </c>
      <c r="F139" s="4" t="s">
        <v>23</v>
      </c>
      <c r="G139" s="4" t="s">
        <v>24</v>
      </c>
    </row>
    <row r="140" spans="2:7" x14ac:dyDescent="0.25">
      <c r="B140" s="3" t="s">
        <v>41</v>
      </c>
      <c r="C140" s="4" t="s">
        <v>18</v>
      </c>
      <c r="D140" t="str">
        <f t="shared" si="2"/>
        <v>11°-Virgo</v>
      </c>
      <c r="E140" s="4" t="s">
        <v>18</v>
      </c>
      <c r="F140" s="4" t="s">
        <v>25</v>
      </c>
      <c r="G140" s="4" t="s">
        <v>26</v>
      </c>
    </row>
    <row r="141" spans="2:7" x14ac:dyDescent="0.25">
      <c r="B141" s="3" t="s">
        <v>41</v>
      </c>
      <c r="C141" s="4" t="s">
        <v>10</v>
      </c>
      <c r="D141" t="str">
        <f t="shared" si="2"/>
        <v>11°-Libra</v>
      </c>
      <c r="E141" s="4" t="s">
        <v>29</v>
      </c>
      <c r="F141" s="4" t="s">
        <v>27</v>
      </c>
      <c r="G141" s="4" t="s">
        <v>28</v>
      </c>
    </row>
    <row r="142" spans="2:7" x14ac:dyDescent="0.25">
      <c r="B142" s="3" t="s">
        <v>41</v>
      </c>
      <c r="C142" s="4" t="s">
        <v>21</v>
      </c>
      <c r="D142" t="str">
        <f t="shared" si="2"/>
        <v>11°-Scorpio</v>
      </c>
      <c r="E142" s="4" t="s">
        <v>18</v>
      </c>
      <c r="F142" s="4" t="s">
        <v>29</v>
      </c>
      <c r="G142" s="4" t="s">
        <v>30</v>
      </c>
    </row>
    <row r="143" spans="2:7" x14ac:dyDescent="0.25">
      <c r="B143" s="3" t="s">
        <v>41</v>
      </c>
      <c r="C143" s="4" t="s">
        <v>23</v>
      </c>
      <c r="D143" t="str">
        <f t="shared" si="2"/>
        <v>11°-Sagittarius</v>
      </c>
      <c r="E143" s="4" t="s">
        <v>29</v>
      </c>
      <c r="F143" s="4" t="s">
        <v>7</v>
      </c>
      <c r="G143" s="4" t="s">
        <v>8</v>
      </c>
    </row>
    <row r="144" spans="2:7" x14ac:dyDescent="0.25">
      <c r="B144" s="3" t="s">
        <v>41</v>
      </c>
      <c r="C144" s="4" t="s">
        <v>25</v>
      </c>
      <c r="D144" t="str">
        <f t="shared" si="2"/>
        <v>11°-Capricorn</v>
      </c>
      <c r="E144" s="4" t="s">
        <v>18</v>
      </c>
      <c r="F144" s="4" t="s">
        <v>9</v>
      </c>
      <c r="G144" s="4" t="s">
        <v>11</v>
      </c>
    </row>
    <row r="145" spans="2:7" x14ac:dyDescent="0.25">
      <c r="B145" s="3" t="s">
        <v>41</v>
      </c>
      <c r="C145" s="4" t="s">
        <v>27</v>
      </c>
      <c r="D145" t="str">
        <f t="shared" si="2"/>
        <v>11°-Aquarius</v>
      </c>
      <c r="E145" s="4" t="s">
        <v>29</v>
      </c>
      <c r="F145" s="4" t="s">
        <v>12</v>
      </c>
      <c r="G145" s="4" t="s">
        <v>13</v>
      </c>
    </row>
    <row r="146" spans="2:7" x14ac:dyDescent="0.25">
      <c r="B146" s="3" t="s">
        <v>41</v>
      </c>
      <c r="C146" s="4" t="s">
        <v>29</v>
      </c>
      <c r="D146" t="str">
        <f t="shared" si="2"/>
        <v>11°-Pisces</v>
      </c>
      <c r="E146" s="4" t="s">
        <v>18</v>
      </c>
      <c r="F146" s="4" t="s">
        <v>14</v>
      </c>
      <c r="G146" s="4" t="s">
        <v>15</v>
      </c>
    </row>
    <row r="147" spans="2:7" x14ac:dyDescent="0.25">
      <c r="B147" s="3" t="s">
        <v>42</v>
      </c>
      <c r="C147" s="4" t="s">
        <v>7</v>
      </c>
      <c r="D147" t="str">
        <f t="shared" si="2"/>
        <v>12°-Aries</v>
      </c>
      <c r="E147" s="4" t="s">
        <v>7</v>
      </c>
      <c r="F147" s="4" t="s">
        <v>16</v>
      </c>
      <c r="G147" s="4" t="s">
        <v>17</v>
      </c>
    </row>
    <row r="148" spans="2:7" x14ac:dyDescent="0.25">
      <c r="B148" s="3" t="s">
        <v>42</v>
      </c>
      <c r="C148" s="4" t="s">
        <v>9</v>
      </c>
      <c r="D148" t="str">
        <f t="shared" si="2"/>
        <v>12°-Taurus</v>
      </c>
      <c r="E148" s="4" t="s">
        <v>10</v>
      </c>
      <c r="F148" s="4" t="s">
        <v>18</v>
      </c>
      <c r="G148" s="4" t="s">
        <v>19</v>
      </c>
    </row>
    <row r="149" spans="2:7" x14ac:dyDescent="0.25">
      <c r="B149" s="3" t="s">
        <v>42</v>
      </c>
      <c r="C149" s="4" t="s">
        <v>12</v>
      </c>
      <c r="D149" t="str">
        <f t="shared" si="2"/>
        <v>12°-Gemini</v>
      </c>
      <c r="E149" s="4" t="s">
        <v>7</v>
      </c>
      <c r="F149" s="4" t="s">
        <v>10</v>
      </c>
      <c r="G149" s="4" t="s">
        <v>20</v>
      </c>
    </row>
    <row r="150" spans="2:7" x14ac:dyDescent="0.25">
      <c r="B150" s="3" t="s">
        <v>42</v>
      </c>
      <c r="C150" s="4" t="s">
        <v>14</v>
      </c>
      <c r="D150" t="str">
        <f t="shared" si="2"/>
        <v>12°-Cancer</v>
      </c>
      <c r="E150" s="4" t="s">
        <v>10</v>
      </c>
      <c r="F150" s="4" t="s">
        <v>21</v>
      </c>
      <c r="G150" s="4" t="s">
        <v>22</v>
      </c>
    </row>
    <row r="151" spans="2:7" x14ac:dyDescent="0.25">
      <c r="B151" s="3" t="s">
        <v>42</v>
      </c>
      <c r="C151" s="4" t="s">
        <v>16</v>
      </c>
      <c r="D151" t="str">
        <f t="shared" si="2"/>
        <v>12°-Leo</v>
      </c>
      <c r="E151" s="4" t="s">
        <v>7</v>
      </c>
      <c r="F151" s="4" t="s">
        <v>23</v>
      </c>
      <c r="G151" s="4" t="s">
        <v>24</v>
      </c>
    </row>
    <row r="152" spans="2:7" x14ac:dyDescent="0.25">
      <c r="B152" s="3" t="s">
        <v>42</v>
      </c>
      <c r="C152" s="4" t="s">
        <v>18</v>
      </c>
      <c r="D152" t="str">
        <f t="shared" si="2"/>
        <v>12°-Virgo</v>
      </c>
      <c r="E152" s="4" t="s">
        <v>10</v>
      </c>
      <c r="F152" s="4" t="s">
        <v>25</v>
      </c>
      <c r="G152" s="4" t="s">
        <v>26</v>
      </c>
    </row>
    <row r="153" spans="2:7" x14ac:dyDescent="0.25">
      <c r="B153" s="3" t="s">
        <v>42</v>
      </c>
      <c r="C153" s="4" t="s">
        <v>10</v>
      </c>
      <c r="D153" t="str">
        <f t="shared" si="2"/>
        <v>12°-Libra</v>
      </c>
      <c r="E153" s="4" t="s">
        <v>7</v>
      </c>
      <c r="F153" s="4" t="s">
        <v>27</v>
      </c>
      <c r="G153" s="4" t="s">
        <v>28</v>
      </c>
    </row>
    <row r="154" spans="2:7" x14ac:dyDescent="0.25">
      <c r="B154" s="3" t="s">
        <v>42</v>
      </c>
      <c r="C154" s="4" t="s">
        <v>21</v>
      </c>
      <c r="D154" t="str">
        <f t="shared" si="2"/>
        <v>12°-Scorpio</v>
      </c>
      <c r="E154" s="4" t="s">
        <v>10</v>
      </c>
      <c r="F154" s="4" t="s">
        <v>29</v>
      </c>
      <c r="G154" s="4" t="s">
        <v>30</v>
      </c>
    </row>
    <row r="155" spans="2:7" x14ac:dyDescent="0.25">
      <c r="B155" s="3" t="s">
        <v>42</v>
      </c>
      <c r="C155" s="4" t="s">
        <v>23</v>
      </c>
      <c r="D155" t="str">
        <f t="shared" si="2"/>
        <v>12°-Sagittarius</v>
      </c>
      <c r="E155" s="4" t="s">
        <v>7</v>
      </c>
      <c r="F155" s="4" t="s">
        <v>7</v>
      </c>
      <c r="G155" s="4" t="s">
        <v>8</v>
      </c>
    </row>
    <row r="156" spans="2:7" x14ac:dyDescent="0.25">
      <c r="B156" s="3" t="s">
        <v>42</v>
      </c>
      <c r="C156" s="4" t="s">
        <v>25</v>
      </c>
      <c r="D156" t="str">
        <f t="shared" si="2"/>
        <v>12°-Capricorn</v>
      </c>
      <c r="E156" s="4" t="s">
        <v>10</v>
      </c>
      <c r="F156" s="4" t="s">
        <v>9</v>
      </c>
      <c r="G156" s="4" t="s">
        <v>11</v>
      </c>
    </row>
    <row r="157" spans="2:7" x14ac:dyDescent="0.25">
      <c r="B157" s="3" t="s">
        <v>42</v>
      </c>
      <c r="C157" s="4" t="s">
        <v>27</v>
      </c>
      <c r="D157" t="str">
        <f t="shared" si="2"/>
        <v>12°-Aquarius</v>
      </c>
      <c r="E157" s="4" t="s">
        <v>7</v>
      </c>
      <c r="F157" s="4" t="s">
        <v>12</v>
      </c>
      <c r="G157" s="4" t="s">
        <v>13</v>
      </c>
    </row>
    <row r="158" spans="2:7" x14ac:dyDescent="0.25">
      <c r="B158" s="3" t="s">
        <v>42</v>
      </c>
      <c r="C158" s="4" t="s">
        <v>29</v>
      </c>
      <c r="D158" t="str">
        <f t="shared" si="2"/>
        <v>12°-Pisces</v>
      </c>
      <c r="E158" s="4" t="s">
        <v>10</v>
      </c>
      <c r="F158" s="4" t="s">
        <v>14</v>
      </c>
      <c r="G158" s="4" t="s">
        <v>15</v>
      </c>
    </row>
    <row r="159" spans="2:7" x14ac:dyDescent="0.25">
      <c r="B159" s="3" t="s">
        <v>43</v>
      </c>
      <c r="C159" s="4" t="s">
        <v>7</v>
      </c>
      <c r="D159" t="str">
        <f t="shared" si="2"/>
        <v>13°-Aries</v>
      </c>
      <c r="E159" s="4" t="s">
        <v>9</v>
      </c>
      <c r="F159" s="4" t="s">
        <v>16</v>
      </c>
      <c r="G159" s="4" t="s">
        <v>17</v>
      </c>
    </row>
    <row r="160" spans="2:7" x14ac:dyDescent="0.25">
      <c r="B160" s="3" t="s">
        <v>43</v>
      </c>
      <c r="C160" s="4" t="s">
        <v>9</v>
      </c>
      <c r="D160" t="str">
        <f t="shared" si="2"/>
        <v>13°-Taurus</v>
      </c>
      <c r="E160" s="4" t="s">
        <v>21</v>
      </c>
      <c r="F160" s="4" t="s">
        <v>18</v>
      </c>
      <c r="G160" s="4" t="s">
        <v>19</v>
      </c>
    </row>
    <row r="161" spans="2:7" x14ac:dyDescent="0.25">
      <c r="B161" s="3" t="s">
        <v>43</v>
      </c>
      <c r="C161" s="4" t="s">
        <v>12</v>
      </c>
      <c r="D161" t="str">
        <f t="shared" si="2"/>
        <v>13°-Gemini</v>
      </c>
      <c r="E161" s="4" t="s">
        <v>9</v>
      </c>
      <c r="F161" s="4" t="s">
        <v>10</v>
      </c>
      <c r="G161" s="4" t="s">
        <v>20</v>
      </c>
    </row>
    <row r="162" spans="2:7" x14ac:dyDescent="0.25">
      <c r="B162" s="3" t="s">
        <v>43</v>
      </c>
      <c r="C162" s="4" t="s">
        <v>14</v>
      </c>
      <c r="D162" t="str">
        <f t="shared" si="2"/>
        <v>13°-Cancer</v>
      </c>
      <c r="E162" s="4" t="s">
        <v>21</v>
      </c>
      <c r="F162" s="4" t="s">
        <v>21</v>
      </c>
      <c r="G162" s="4" t="s">
        <v>22</v>
      </c>
    </row>
    <row r="163" spans="2:7" x14ac:dyDescent="0.25">
      <c r="B163" s="3" t="s">
        <v>43</v>
      </c>
      <c r="C163" s="4" t="s">
        <v>16</v>
      </c>
      <c r="D163" t="str">
        <f t="shared" si="2"/>
        <v>13°-Leo</v>
      </c>
      <c r="E163" s="4" t="s">
        <v>9</v>
      </c>
      <c r="F163" s="4" t="s">
        <v>23</v>
      </c>
      <c r="G163" s="4" t="s">
        <v>24</v>
      </c>
    </row>
    <row r="164" spans="2:7" x14ac:dyDescent="0.25">
      <c r="B164" s="3" t="s">
        <v>43</v>
      </c>
      <c r="C164" s="4" t="s">
        <v>18</v>
      </c>
      <c r="D164" t="str">
        <f t="shared" si="2"/>
        <v>13°-Virgo</v>
      </c>
      <c r="E164" s="4" t="s">
        <v>21</v>
      </c>
      <c r="F164" s="4" t="s">
        <v>25</v>
      </c>
      <c r="G164" s="4" t="s">
        <v>26</v>
      </c>
    </row>
    <row r="165" spans="2:7" x14ac:dyDescent="0.25">
      <c r="B165" s="3" t="s">
        <v>43</v>
      </c>
      <c r="C165" s="4" t="s">
        <v>10</v>
      </c>
      <c r="D165" t="str">
        <f t="shared" si="2"/>
        <v>13°-Libra</v>
      </c>
      <c r="E165" s="4" t="s">
        <v>9</v>
      </c>
      <c r="F165" s="4" t="s">
        <v>27</v>
      </c>
      <c r="G165" s="4" t="s">
        <v>28</v>
      </c>
    </row>
    <row r="166" spans="2:7" x14ac:dyDescent="0.25">
      <c r="B166" s="3" t="s">
        <v>43</v>
      </c>
      <c r="C166" s="4" t="s">
        <v>21</v>
      </c>
      <c r="D166" t="str">
        <f t="shared" si="2"/>
        <v>13°-Scorpio</v>
      </c>
      <c r="E166" s="4" t="s">
        <v>21</v>
      </c>
      <c r="F166" s="4" t="s">
        <v>29</v>
      </c>
      <c r="G166" s="4" t="s">
        <v>30</v>
      </c>
    </row>
    <row r="167" spans="2:7" x14ac:dyDescent="0.25">
      <c r="B167" s="3" t="s">
        <v>43</v>
      </c>
      <c r="C167" s="4" t="s">
        <v>23</v>
      </c>
      <c r="D167" t="str">
        <f t="shared" si="2"/>
        <v>13°-Sagittarius</v>
      </c>
      <c r="E167" s="4" t="s">
        <v>9</v>
      </c>
      <c r="F167" s="4" t="s">
        <v>7</v>
      </c>
      <c r="G167" s="4" t="s">
        <v>8</v>
      </c>
    </row>
    <row r="168" spans="2:7" x14ac:dyDescent="0.25">
      <c r="B168" s="3" t="s">
        <v>43</v>
      </c>
      <c r="C168" s="4" t="s">
        <v>25</v>
      </c>
      <c r="D168" t="str">
        <f t="shared" si="2"/>
        <v>13°-Capricorn</v>
      </c>
      <c r="E168" s="4" t="s">
        <v>21</v>
      </c>
      <c r="F168" s="4" t="s">
        <v>9</v>
      </c>
      <c r="G168" s="4" t="s">
        <v>11</v>
      </c>
    </row>
    <row r="169" spans="2:7" x14ac:dyDescent="0.25">
      <c r="B169" s="3" t="s">
        <v>43</v>
      </c>
      <c r="C169" s="4" t="s">
        <v>27</v>
      </c>
      <c r="D169" t="str">
        <f t="shared" si="2"/>
        <v>13°-Aquarius</v>
      </c>
      <c r="E169" s="4" t="s">
        <v>9</v>
      </c>
      <c r="F169" s="4" t="s">
        <v>12</v>
      </c>
      <c r="G169" s="4" t="s">
        <v>13</v>
      </c>
    </row>
    <row r="170" spans="2:7" x14ac:dyDescent="0.25">
      <c r="B170" s="3" t="s">
        <v>43</v>
      </c>
      <c r="C170" s="4" t="s">
        <v>29</v>
      </c>
      <c r="D170" t="str">
        <f t="shared" si="2"/>
        <v>13°-Pisces</v>
      </c>
      <c r="E170" s="4" t="s">
        <v>21</v>
      </c>
      <c r="F170" s="4" t="s">
        <v>14</v>
      </c>
      <c r="G170" s="4" t="s">
        <v>15</v>
      </c>
    </row>
    <row r="171" spans="2:7" x14ac:dyDescent="0.25">
      <c r="B171" s="3" t="s">
        <v>44</v>
      </c>
      <c r="C171" s="4" t="s">
        <v>7</v>
      </c>
      <c r="D171" t="str">
        <f t="shared" si="2"/>
        <v>14°-Aries</v>
      </c>
      <c r="E171" s="4" t="s">
        <v>12</v>
      </c>
      <c r="F171" s="4" t="s">
        <v>16</v>
      </c>
      <c r="G171" s="4" t="s">
        <v>17</v>
      </c>
    </row>
    <row r="172" spans="2:7" x14ac:dyDescent="0.25">
      <c r="B172" s="3" t="s">
        <v>44</v>
      </c>
      <c r="C172" s="4" t="s">
        <v>9</v>
      </c>
      <c r="D172" t="str">
        <f t="shared" si="2"/>
        <v>14°-Taurus</v>
      </c>
      <c r="E172" s="4" t="s">
        <v>23</v>
      </c>
      <c r="F172" s="4" t="s">
        <v>18</v>
      </c>
      <c r="G172" s="4" t="s">
        <v>19</v>
      </c>
    </row>
    <row r="173" spans="2:7" x14ac:dyDescent="0.25">
      <c r="B173" s="3" t="s">
        <v>44</v>
      </c>
      <c r="C173" s="4" t="s">
        <v>12</v>
      </c>
      <c r="D173" t="str">
        <f t="shared" si="2"/>
        <v>14°-Gemini</v>
      </c>
      <c r="E173" s="4" t="s">
        <v>12</v>
      </c>
      <c r="F173" s="4" t="s">
        <v>10</v>
      </c>
      <c r="G173" s="4" t="s">
        <v>20</v>
      </c>
    </row>
    <row r="174" spans="2:7" x14ac:dyDescent="0.25">
      <c r="B174" s="3" t="s">
        <v>44</v>
      </c>
      <c r="C174" s="4" t="s">
        <v>14</v>
      </c>
      <c r="D174" t="str">
        <f t="shared" si="2"/>
        <v>14°-Cancer</v>
      </c>
      <c r="E174" s="4" t="s">
        <v>23</v>
      </c>
      <c r="F174" s="4" t="s">
        <v>21</v>
      </c>
      <c r="G174" s="4" t="s">
        <v>22</v>
      </c>
    </row>
    <row r="175" spans="2:7" x14ac:dyDescent="0.25">
      <c r="B175" s="3" t="s">
        <v>44</v>
      </c>
      <c r="C175" s="4" t="s">
        <v>16</v>
      </c>
      <c r="D175" t="str">
        <f t="shared" si="2"/>
        <v>14°-Leo</v>
      </c>
      <c r="E175" s="4" t="s">
        <v>12</v>
      </c>
      <c r="F175" s="4" t="s">
        <v>23</v>
      </c>
      <c r="G175" s="4" t="s">
        <v>24</v>
      </c>
    </row>
    <row r="176" spans="2:7" x14ac:dyDescent="0.25">
      <c r="B176" s="3" t="s">
        <v>44</v>
      </c>
      <c r="C176" s="4" t="s">
        <v>18</v>
      </c>
      <c r="D176" t="str">
        <f t="shared" si="2"/>
        <v>14°-Virgo</v>
      </c>
      <c r="E176" s="4" t="s">
        <v>23</v>
      </c>
      <c r="F176" s="4" t="s">
        <v>25</v>
      </c>
      <c r="G176" s="4" t="s">
        <v>26</v>
      </c>
    </row>
    <row r="177" spans="2:7" x14ac:dyDescent="0.25">
      <c r="B177" s="3" t="s">
        <v>44</v>
      </c>
      <c r="C177" s="4" t="s">
        <v>10</v>
      </c>
      <c r="D177" t="str">
        <f t="shared" si="2"/>
        <v>14°-Libra</v>
      </c>
      <c r="E177" s="4" t="s">
        <v>12</v>
      </c>
      <c r="F177" s="4" t="s">
        <v>27</v>
      </c>
      <c r="G177" s="4" t="s">
        <v>28</v>
      </c>
    </row>
    <row r="178" spans="2:7" x14ac:dyDescent="0.25">
      <c r="B178" s="3" t="s">
        <v>44</v>
      </c>
      <c r="C178" s="4" t="s">
        <v>21</v>
      </c>
      <c r="D178" t="str">
        <f t="shared" si="2"/>
        <v>14°-Scorpio</v>
      </c>
      <c r="E178" s="4" t="s">
        <v>23</v>
      </c>
      <c r="F178" s="4" t="s">
        <v>29</v>
      </c>
      <c r="G178" s="4" t="s">
        <v>30</v>
      </c>
    </row>
    <row r="179" spans="2:7" x14ac:dyDescent="0.25">
      <c r="B179" s="3" t="s">
        <v>44</v>
      </c>
      <c r="C179" s="4" t="s">
        <v>23</v>
      </c>
      <c r="D179" t="str">
        <f t="shared" si="2"/>
        <v>14°-Sagittarius</v>
      </c>
      <c r="E179" s="4" t="s">
        <v>12</v>
      </c>
      <c r="F179" s="4" t="s">
        <v>7</v>
      </c>
      <c r="G179" s="4" t="s">
        <v>8</v>
      </c>
    </row>
    <row r="180" spans="2:7" x14ac:dyDescent="0.25">
      <c r="B180" s="3" t="s">
        <v>44</v>
      </c>
      <c r="C180" s="4" t="s">
        <v>25</v>
      </c>
      <c r="D180" t="str">
        <f t="shared" si="2"/>
        <v>14°-Capricorn</v>
      </c>
      <c r="E180" s="4" t="s">
        <v>23</v>
      </c>
      <c r="F180" s="4" t="s">
        <v>9</v>
      </c>
      <c r="G180" s="4" t="s">
        <v>11</v>
      </c>
    </row>
    <row r="181" spans="2:7" x14ac:dyDescent="0.25">
      <c r="B181" s="3" t="s">
        <v>44</v>
      </c>
      <c r="C181" s="4" t="s">
        <v>27</v>
      </c>
      <c r="D181" t="str">
        <f t="shared" si="2"/>
        <v>14°-Aquarius</v>
      </c>
      <c r="E181" s="4" t="s">
        <v>12</v>
      </c>
      <c r="F181" s="4" t="s">
        <v>12</v>
      </c>
      <c r="G181" s="4" t="s">
        <v>13</v>
      </c>
    </row>
    <row r="182" spans="2:7" x14ac:dyDescent="0.25">
      <c r="B182" s="3" t="s">
        <v>44</v>
      </c>
      <c r="C182" s="4" t="s">
        <v>29</v>
      </c>
      <c r="D182" t="str">
        <f t="shared" si="2"/>
        <v>14°-Pisces</v>
      </c>
      <c r="E182" s="4" t="s">
        <v>23</v>
      </c>
      <c r="F182" s="4" t="s">
        <v>14</v>
      </c>
      <c r="G182" s="4" t="s">
        <v>15</v>
      </c>
    </row>
    <row r="183" spans="2:7" x14ac:dyDescent="0.25">
      <c r="B183" s="3" t="s">
        <v>45</v>
      </c>
      <c r="C183" s="4" t="s">
        <v>7</v>
      </c>
      <c r="D183" t="str">
        <f t="shared" si="2"/>
        <v>15°-Aries</v>
      </c>
      <c r="E183" s="4" t="s">
        <v>14</v>
      </c>
      <c r="F183" s="4" t="s">
        <v>16</v>
      </c>
      <c r="G183" s="4" t="s">
        <v>17</v>
      </c>
    </row>
    <row r="184" spans="2:7" x14ac:dyDescent="0.25">
      <c r="B184" s="3" t="s">
        <v>45</v>
      </c>
      <c r="C184" s="4" t="s">
        <v>9</v>
      </c>
      <c r="D184" t="str">
        <f t="shared" si="2"/>
        <v>15°-Taurus</v>
      </c>
      <c r="E184" s="4" t="s">
        <v>25</v>
      </c>
      <c r="F184" s="4" t="s">
        <v>18</v>
      </c>
      <c r="G184" s="4" t="s">
        <v>19</v>
      </c>
    </row>
    <row r="185" spans="2:7" x14ac:dyDescent="0.25">
      <c r="B185" s="3" t="s">
        <v>45</v>
      </c>
      <c r="C185" s="4" t="s">
        <v>12</v>
      </c>
      <c r="D185" t="str">
        <f t="shared" si="2"/>
        <v>15°-Gemini</v>
      </c>
      <c r="E185" s="4" t="s">
        <v>14</v>
      </c>
      <c r="F185" s="4" t="s">
        <v>10</v>
      </c>
      <c r="G185" s="4" t="s">
        <v>20</v>
      </c>
    </row>
    <row r="186" spans="2:7" x14ac:dyDescent="0.25">
      <c r="B186" s="3" t="s">
        <v>45</v>
      </c>
      <c r="C186" s="4" t="s">
        <v>14</v>
      </c>
      <c r="D186" t="str">
        <f t="shared" si="2"/>
        <v>15°-Cancer</v>
      </c>
      <c r="E186" s="4" t="s">
        <v>25</v>
      </c>
      <c r="F186" s="4" t="s">
        <v>21</v>
      </c>
      <c r="G186" s="4" t="s">
        <v>22</v>
      </c>
    </row>
    <row r="187" spans="2:7" x14ac:dyDescent="0.25">
      <c r="B187" s="3" t="s">
        <v>45</v>
      </c>
      <c r="C187" s="4" t="s">
        <v>16</v>
      </c>
      <c r="D187" t="str">
        <f t="shared" si="2"/>
        <v>15°-Leo</v>
      </c>
      <c r="E187" s="4" t="s">
        <v>14</v>
      </c>
      <c r="F187" s="4" t="s">
        <v>23</v>
      </c>
      <c r="G187" s="4" t="s">
        <v>24</v>
      </c>
    </row>
    <row r="188" spans="2:7" x14ac:dyDescent="0.25">
      <c r="B188" s="3" t="s">
        <v>45</v>
      </c>
      <c r="C188" s="4" t="s">
        <v>18</v>
      </c>
      <c r="D188" t="str">
        <f t="shared" si="2"/>
        <v>15°-Virgo</v>
      </c>
      <c r="E188" s="4" t="s">
        <v>25</v>
      </c>
      <c r="F188" s="4" t="s">
        <v>25</v>
      </c>
      <c r="G188" s="4" t="s">
        <v>26</v>
      </c>
    </row>
    <row r="189" spans="2:7" x14ac:dyDescent="0.25">
      <c r="B189" s="3" t="s">
        <v>45</v>
      </c>
      <c r="C189" s="4" t="s">
        <v>10</v>
      </c>
      <c r="D189" t="str">
        <f t="shared" si="2"/>
        <v>15°-Libra</v>
      </c>
      <c r="E189" s="4" t="s">
        <v>14</v>
      </c>
      <c r="F189" s="4" t="s">
        <v>27</v>
      </c>
      <c r="G189" s="4" t="s">
        <v>28</v>
      </c>
    </row>
    <row r="190" spans="2:7" x14ac:dyDescent="0.25">
      <c r="B190" s="3" t="s">
        <v>45</v>
      </c>
      <c r="C190" s="4" t="s">
        <v>21</v>
      </c>
      <c r="D190" t="str">
        <f t="shared" si="2"/>
        <v>15°-Scorpio</v>
      </c>
      <c r="E190" s="4" t="s">
        <v>25</v>
      </c>
      <c r="F190" s="4" t="s">
        <v>29</v>
      </c>
      <c r="G190" s="4" t="s">
        <v>30</v>
      </c>
    </row>
    <row r="191" spans="2:7" x14ac:dyDescent="0.25">
      <c r="B191" s="3" t="s">
        <v>45</v>
      </c>
      <c r="C191" s="4" t="s">
        <v>23</v>
      </c>
      <c r="D191" t="str">
        <f t="shared" si="2"/>
        <v>15°-Sagittarius</v>
      </c>
      <c r="E191" s="4" t="s">
        <v>14</v>
      </c>
      <c r="F191" s="4" t="s">
        <v>7</v>
      </c>
      <c r="G191" s="4" t="s">
        <v>8</v>
      </c>
    </row>
    <row r="192" spans="2:7" x14ac:dyDescent="0.25">
      <c r="B192" s="3" t="s">
        <v>45</v>
      </c>
      <c r="C192" s="4" t="s">
        <v>25</v>
      </c>
      <c r="D192" t="str">
        <f t="shared" si="2"/>
        <v>15°-Capricorn</v>
      </c>
      <c r="E192" s="4" t="s">
        <v>25</v>
      </c>
      <c r="F192" s="4" t="s">
        <v>9</v>
      </c>
      <c r="G192" s="4" t="s">
        <v>11</v>
      </c>
    </row>
    <row r="193" spans="2:7" x14ac:dyDescent="0.25">
      <c r="B193" s="3" t="s">
        <v>45</v>
      </c>
      <c r="C193" s="4" t="s">
        <v>27</v>
      </c>
      <c r="D193" t="str">
        <f t="shared" si="2"/>
        <v>15°-Aquarius</v>
      </c>
      <c r="E193" s="4" t="s">
        <v>14</v>
      </c>
      <c r="F193" s="4" t="s">
        <v>12</v>
      </c>
      <c r="G193" s="4" t="s">
        <v>13</v>
      </c>
    </row>
    <row r="194" spans="2:7" x14ac:dyDescent="0.25">
      <c r="B194" s="3" t="s">
        <v>45</v>
      </c>
      <c r="C194" s="4" t="s">
        <v>29</v>
      </c>
      <c r="D194" t="str">
        <f t="shared" si="2"/>
        <v>15°-Pisces</v>
      </c>
      <c r="E194" s="4" t="s">
        <v>25</v>
      </c>
      <c r="F194" s="4" t="s">
        <v>14</v>
      </c>
      <c r="G194" s="4" t="s">
        <v>15</v>
      </c>
    </row>
    <row r="195" spans="2:7" x14ac:dyDescent="0.25">
      <c r="B195" s="3" t="s">
        <v>46</v>
      </c>
      <c r="C195" s="4" t="s">
        <v>7</v>
      </c>
      <c r="D195" t="str">
        <f t="shared" si="2"/>
        <v>16°-Aries</v>
      </c>
      <c r="E195" s="4" t="s">
        <v>16</v>
      </c>
      <c r="F195" s="4" t="s">
        <v>16</v>
      </c>
      <c r="G195" s="4" t="s">
        <v>17</v>
      </c>
    </row>
    <row r="196" spans="2:7" x14ac:dyDescent="0.25">
      <c r="B196" s="3" t="s">
        <v>46</v>
      </c>
      <c r="C196" s="4" t="s">
        <v>9</v>
      </c>
      <c r="D196" t="str">
        <f t="shared" ref="D196:D259" si="3">B196&amp;"-"&amp;C196</f>
        <v>16°-Taurus</v>
      </c>
      <c r="E196" s="4" t="s">
        <v>27</v>
      </c>
      <c r="F196" s="4" t="s">
        <v>18</v>
      </c>
      <c r="G196" s="4" t="s">
        <v>19</v>
      </c>
    </row>
    <row r="197" spans="2:7" x14ac:dyDescent="0.25">
      <c r="B197" s="3" t="s">
        <v>46</v>
      </c>
      <c r="C197" s="4" t="s">
        <v>12</v>
      </c>
      <c r="D197" t="str">
        <f t="shared" si="3"/>
        <v>16°-Gemini</v>
      </c>
      <c r="E197" s="4" t="s">
        <v>16</v>
      </c>
      <c r="F197" s="4" t="s">
        <v>10</v>
      </c>
      <c r="G197" s="4" t="s">
        <v>20</v>
      </c>
    </row>
    <row r="198" spans="2:7" x14ac:dyDescent="0.25">
      <c r="B198" s="3" t="s">
        <v>46</v>
      </c>
      <c r="C198" s="4" t="s">
        <v>14</v>
      </c>
      <c r="D198" t="str">
        <f t="shared" si="3"/>
        <v>16°-Cancer</v>
      </c>
      <c r="E198" s="4" t="s">
        <v>27</v>
      </c>
      <c r="F198" s="4" t="s">
        <v>21</v>
      </c>
      <c r="G198" s="4" t="s">
        <v>22</v>
      </c>
    </row>
    <row r="199" spans="2:7" x14ac:dyDescent="0.25">
      <c r="B199" s="3" t="s">
        <v>46</v>
      </c>
      <c r="C199" s="4" t="s">
        <v>16</v>
      </c>
      <c r="D199" t="str">
        <f t="shared" si="3"/>
        <v>16°-Leo</v>
      </c>
      <c r="E199" s="4" t="s">
        <v>16</v>
      </c>
      <c r="F199" s="4" t="s">
        <v>23</v>
      </c>
      <c r="G199" s="4" t="s">
        <v>24</v>
      </c>
    </row>
    <row r="200" spans="2:7" x14ac:dyDescent="0.25">
      <c r="B200" s="3" t="s">
        <v>46</v>
      </c>
      <c r="C200" s="4" t="s">
        <v>18</v>
      </c>
      <c r="D200" t="str">
        <f t="shared" si="3"/>
        <v>16°-Virgo</v>
      </c>
      <c r="E200" s="4" t="s">
        <v>27</v>
      </c>
      <c r="F200" s="4" t="s">
        <v>25</v>
      </c>
      <c r="G200" s="4" t="s">
        <v>26</v>
      </c>
    </row>
    <row r="201" spans="2:7" x14ac:dyDescent="0.25">
      <c r="B201" s="3" t="s">
        <v>46</v>
      </c>
      <c r="C201" s="4" t="s">
        <v>10</v>
      </c>
      <c r="D201" t="str">
        <f t="shared" si="3"/>
        <v>16°-Libra</v>
      </c>
      <c r="E201" s="4" t="s">
        <v>16</v>
      </c>
      <c r="F201" s="4" t="s">
        <v>27</v>
      </c>
      <c r="G201" s="4" t="s">
        <v>28</v>
      </c>
    </row>
    <row r="202" spans="2:7" x14ac:dyDescent="0.25">
      <c r="B202" s="3" t="s">
        <v>46</v>
      </c>
      <c r="C202" s="4" t="s">
        <v>21</v>
      </c>
      <c r="D202" t="str">
        <f t="shared" si="3"/>
        <v>16°-Scorpio</v>
      </c>
      <c r="E202" s="4" t="s">
        <v>27</v>
      </c>
      <c r="F202" s="4" t="s">
        <v>29</v>
      </c>
      <c r="G202" s="4" t="s">
        <v>30</v>
      </c>
    </row>
    <row r="203" spans="2:7" x14ac:dyDescent="0.25">
      <c r="B203" s="3" t="s">
        <v>46</v>
      </c>
      <c r="C203" s="4" t="s">
        <v>23</v>
      </c>
      <c r="D203" t="str">
        <f t="shared" si="3"/>
        <v>16°-Sagittarius</v>
      </c>
      <c r="E203" s="4" t="s">
        <v>16</v>
      </c>
      <c r="F203" s="4" t="s">
        <v>7</v>
      </c>
      <c r="G203" s="4" t="s">
        <v>8</v>
      </c>
    </row>
    <row r="204" spans="2:7" x14ac:dyDescent="0.25">
      <c r="B204" s="3" t="s">
        <v>46</v>
      </c>
      <c r="C204" s="4" t="s">
        <v>25</v>
      </c>
      <c r="D204" t="str">
        <f t="shared" si="3"/>
        <v>16°-Capricorn</v>
      </c>
      <c r="E204" s="4" t="s">
        <v>27</v>
      </c>
      <c r="F204" s="4" t="s">
        <v>9</v>
      </c>
      <c r="G204" s="4" t="s">
        <v>11</v>
      </c>
    </row>
    <row r="205" spans="2:7" x14ac:dyDescent="0.25">
      <c r="B205" s="3" t="s">
        <v>46</v>
      </c>
      <c r="C205" s="4" t="s">
        <v>27</v>
      </c>
      <c r="D205" t="str">
        <f t="shared" si="3"/>
        <v>16°-Aquarius</v>
      </c>
      <c r="E205" s="4" t="s">
        <v>16</v>
      </c>
      <c r="F205" s="4" t="s">
        <v>12</v>
      </c>
      <c r="G205" s="4" t="s">
        <v>13</v>
      </c>
    </row>
    <row r="206" spans="2:7" x14ac:dyDescent="0.25">
      <c r="B206" s="3" t="s">
        <v>46</v>
      </c>
      <c r="C206" s="4" t="s">
        <v>29</v>
      </c>
      <c r="D206" t="str">
        <f t="shared" si="3"/>
        <v>16°-Pisces</v>
      </c>
      <c r="E206" s="4" t="s">
        <v>27</v>
      </c>
      <c r="F206" s="4" t="s">
        <v>14</v>
      </c>
      <c r="G206" s="4" t="s">
        <v>15</v>
      </c>
    </row>
    <row r="207" spans="2:7" x14ac:dyDescent="0.25">
      <c r="B207" s="3" t="s">
        <v>48</v>
      </c>
      <c r="C207" s="4" t="s">
        <v>7</v>
      </c>
      <c r="D207" t="str">
        <f t="shared" si="3"/>
        <v>17°-Aries</v>
      </c>
      <c r="E207" s="4" t="s">
        <v>18</v>
      </c>
      <c r="F207" s="4" t="s">
        <v>16</v>
      </c>
      <c r="G207" s="4" t="s">
        <v>17</v>
      </c>
    </row>
    <row r="208" spans="2:7" x14ac:dyDescent="0.25">
      <c r="B208" s="3" t="s">
        <v>48</v>
      </c>
      <c r="C208" s="4" t="s">
        <v>9</v>
      </c>
      <c r="D208" t="str">
        <f t="shared" si="3"/>
        <v>17°-Taurus</v>
      </c>
      <c r="E208" s="4" t="s">
        <v>29</v>
      </c>
      <c r="F208" s="4" t="s">
        <v>18</v>
      </c>
      <c r="G208" s="4" t="s">
        <v>19</v>
      </c>
    </row>
    <row r="209" spans="2:7" x14ac:dyDescent="0.25">
      <c r="B209" s="3" t="s">
        <v>48</v>
      </c>
      <c r="C209" s="4" t="s">
        <v>12</v>
      </c>
      <c r="D209" t="str">
        <f t="shared" si="3"/>
        <v>17°-Gemini</v>
      </c>
      <c r="E209" s="4" t="s">
        <v>18</v>
      </c>
      <c r="F209" s="4" t="s">
        <v>10</v>
      </c>
      <c r="G209" s="4" t="s">
        <v>20</v>
      </c>
    </row>
    <row r="210" spans="2:7" x14ac:dyDescent="0.25">
      <c r="B210" s="3" t="s">
        <v>48</v>
      </c>
      <c r="C210" s="4" t="s">
        <v>14</v>
      </c>
      <c r="D210" t="str">
        <f t="shared" si="3"/>
        <v>17°-Cancer</v>
      </c>
      <c r="E210" s="4" t="s">
        <v>29</v>
      </c>
      <c r="F210" s="4" t="s">
        <v>21</v>
      </c>
      <c r="G210" s="4" t="s">
        <v>22</v>
      </c>
    </row>
    <row r="211" spans="2:7" x14ac:dyDescent="0.25">
      <c r="B211" s="3" t="s">
        <v>48</v>
      </c>
      <c r="C211" s="4" t="s">
        <v>16</v>
      </c>
      <c r="D211" t="str">
        <f t="shared" si="3"/>
        <v>17°-Leo</v>
      </c>
      <c r="E211" s="4" t="s">
        <v>18</v>
      </c>
      <c r="F211" s="4" t="s">
        <v>23</v>
      </c>
      <c r="G211" s="4" t="s">
        <v>24</v>
      </c>
    </row>
    <row r="212" spans="2:7" x14ac:dyDescent="0.25">
      <c r="B212" s="3" t="s">
        <v>48</v>
      </c>
      <c r="C212" s="4" t="s">
        <v>18</v>
      </c>
      <c r="D212" t="str">
        <f t="shared" si="3"/>
        <v>17°-Virgo</v>
      </c>
      <c r="E212" s="4" t="s">
        <v>29</v>
      </c>
      <c r="F212" s="4" t="s">
        <v>25</v>
      </c>
      <c r="G212" s="4" t="s">
        <v>26</v>
      </c>
    </row>
    <row r="213" spans="2:7" x14ac:dyDescent="0.25">
      <c r="B213" s="3" t="s">
        <v>48</v>
      </c>
      <c r="C213" s="4" t="s">
        <v>10</v>
      </c>
      <c r="D213" t="str">
        <f t="shared" si="3"/>
        <v>17°-Libra</v>
      </c>
      <c r="E213" s="4" t="s">
        <v>18</v>
      </c>
      <c r="F213" s="4" t="s">
        <v>27</v>
      </c>
      <c r="G213" s="4" t="s">
        <v>28</v>
      </c>
    </row>
    <row r="214" spans="2:7" x14ac:dyDescent="0.25">
      <c r="B214" s="3" t="s">
        <v>48</v>
      </c>
      <c r="C214" s="4" t="s">
        <v>21</v>
      </c>
      <c r="D214" t="str">
        <f t="shared" si="3"/>
        <v>17°-Scorpio</v>
      </c>
      <c r="E214" s="4" t="s">
        <v>29</v>
      </c>
      <c r="F214" s="4" t="s">
        <v>29</v>
      </c>
      <c r="G214" s="4" t="s">
        <v>30</v>
      </c>
    </row>
    <row r="215" spans="2:7" x14ac:dyDescent="0.25">
      <c r="B215" s="3" t="s">
        <v>48</v>
      </c>
      <c r="C215" s="4" t="s">
        <v>23</v>
      </c>
      <c r="D215" t="str">
        <f t="shared" si="3"/>
        <v>17°-Sagittarius</v>
      </c>
      <c r="E215" s="4" t="s">
        <v>18</v>
      </c>
      <c r="F215" s="4" t="s">
        <v>7</v>
      </c>
      <c r="G215" s="4" t="s">
        <v>8</v>
      </c>
    </row>
    <row r="216" spans="2:7" x14ac:dyDescent="0.25">
      <c r="B216" s="3" t="s">
        <v>48</v>
      </c>
      <c r="C216" s="4" t="s">
        <v>25</v>
      </c>
      <c r="D216" t="str">
        <f t="shared" si="3"/>
        <v>17°-Capricorn</v>
      </c>
      <c r="E216" s="4" t="s">
        <v>29</v>
      </c>
      <c r="F216" s="4" t="s">
        <v>9</v>
      </c>
      <c r="G216" s="4" t="s">
        <v>11</v>
      </c>
    </row>
    <row r="217" spans="2:7" x14ac:dyDescent="0.25">
      <c r="B217" s="3" t="s">
        <v>48</v>
      </c>
      <c r="C217" s="4" t="s">
        <v>27</v>
      </c>
      <c r="D217" t="str">
        <f t="shared" si="3"/>
        <v>17°-Aquarius</v>
      </c>
      <c r="E217" s="4" t="s">
        <v>18</v>
      </c>
      <c r="F217" s="4" t="s">
        <v>12</v>
      </c>
      <c r="G217" s="4" t="s">
        <v>13</v>
      </c>
    </row>
    <row r="218" spans="2:7" x14ac:dyDescent="0.25">
      <c r="B218" s="3" t="s">
        <v>48</v>
      </c>
      <c r="C218" s="4" t="s">
        <v>29</v>
      </c>
      <c r="D218" t="str">
        <f t="shared" si="3"/>
        <v>17°-Pisces</v>
      </c>
      <c r="E218" s="4" t="s">
        <v>29</v>
      </c>
      <c r="F218" s="4" t="s">
        <v>14</v>
      </c>
      <c r="G218" s="4" t="s">
        <v>15</v>
      </c>
    </row>
    <row r="219" spans="2:7" x14ac:dyDescent="0.25">
      <c r="B219" s="3" t="s">
        <v>49</v>
      </c>
      <c r="C219" s="4" t="s">
        <v>7</v>
      </c>
      <c r="D219" t="str">
        <f t="shared" si="3"/>
        <v>18°-Aries</v>
      </c>
      <c r="E219" s="4" t="s">
        <v>10</v>
      </c>
      <c r="F219" s="4" t="s">
        <v>16</v>
      </c>
      <c r="G219" s="4" t="s">
        <v>17</v>
      </c>
    </row>
    <row r="220" spans="2:7" x14ac:dyDescent="0.25">
      <c r="B220" s="3" t="s">
        <v>49</v>
      </c>
      <c r="C220" s="4" t="s">
        <v>9</v>
      </c>
      <c r="D220" t="str">
        <f t="shared" si="3"/>
        <v>18°-Taurus</v>
      </c>
      <c r="E220" s="4" t="s">
        <v>7</v>
      </c>
      <c r="F220" s="4" t="s">
        <v>18</v>
      </c>
      <c r="G220" s="4" t="s">
        <v>19</v>
      </c>
    </row>
    <row r="221" spans="2:7" x14ac:dyDescent="0.25">
      <c r="B221" s="3" t="s">
        <v>49</v>
      </c>
      <c r="C221" s="4" t="s">
        <v>12</v>
      </c>
      <c r="D221" t="str">
        <f t="shared" si="3"/>
        <v>18°-Gemini</v>
      </c>
      <c r="E221" s="4" t="s">
        <v>10</v>
      </c>
      <c r="F221" s="4" t="s">
        <v>10</v>
      </c>
      <c r="G221" s="4" t="s">
        <v>20</v>
      </c>
    </row>
    <row r="222" spans="2:7" x14ac:dyDescent="0.25">
      <c r="B222" s="3" t="s">
        <v>49</v>
      </c>
      <c r="C222" s="4" t="s">
        <v>14</v>
      </c>
      <c r="D222" t="str">
        <f t="shared" si="3"/>
        <v>18°-Cancer</v>
      </c>
      <c r="E222" s="4" t="s">
        <v>7</v>
      </c>
      <c r="F222" s="4" t="s">
        <v>21</v>
      </c>
      <c r="G222" s="4" t="s">
        <v>22</v>
      </c>
    </row>
    <row r="223" spans="2:7" x14ac:dyDescent="0.25">
      <c r="B223" s="3" t="s">
        <v>49</v>
      </c>
      <c r="C223" s="4" t="s">
        <v>16</v>
      </c>
      <c r="D223" t="str">
        <f t="shared" si="3"/>
        <v>18°-Leo</v>
      </c>
      <c r="E223" s="4" t="s">
        <v>10</v>
      </c>
      <c r="F223" s="4" t="s">
        <v>23</v>
      </c>
      <c r="G223" s="4" t="s">
        <v>24</v>
      </c>
    </row>
    <row r="224" spans="2:7" x14ac:dyDescent="0.25">
      <c r="B224" s="3" t="s">
        <v>49</v>
      </c>
      <c r="C224" s="4" t="s">
        <v>18</v>
      </c>
      <c r="D224" t="str">
        <f t="shared" si="3"/>
        <v>18°-Virgo</v>
      </c>
      <c r="E224" s="4" t="s">
        <v>7</v>
      </c>
      <c r="F224" s="4" t="s">
        <v>25</v>
      </c>
      <c r="G224" s="4" t="s">
        <v>26</v>
      </c>
    </row>
    <row r="225" spans="2:7" x14ac:dyDescent="0.25">
      <c r="B225" s="3" t="s">
        <v>49</v>
      </c>
      <c r="C225" s="4" t="s">
        <v>10</v>
      </c>
      <c r="D225" t="str">
        <f t="shared" si="3"/>
        <v>18°-Libra</v>
      </c>
      <c r="E225" s="4" t="s">
        <v>10</v>
      </c>
      <c r="F225" s="4" t="s">
        <v>27</v>
      </c>
      <c r="G225" s="4" t="s">
        <v>28</v>
      </c>
    </row>
    <row r="226" spans="2:7" x14ac:dyDescent="0.25">
      <c r="B226" s="3" t="s">
        <v>49</v>
      </c>
      <c r="C226" s="4" t="s">
        <v>21</v>
      </c>
      <c r="D226" t="str">
        <f t="shared" si="3"/>
        <v>18°-Scorpio</v>
      </c>
      <c r="E226" s="4" t="s">
        <v>7</v>
      </c>
      <c r="F226" s="4" t="s">
        <v>29</v>
      </c>
      <c r="G226" s="4" t="s">
        <v>30</v>
      </c>
    </row>
    <row r="227" spans="2:7" x14ac:dyDescent="0.25">
      <c r="B227" s="3" t="s">
        <v>49</v>
      </c>
      <c r="C227" s="4" t="s">
        <v>23</v>
      </c>
      <c r="D227" t="str">
        <f t="shared" si="3"/>
        <v>18°-Sagittarius</v>
      </c>
      <c r="E227" s="4" t="s">
        <v>10</v>
      </c>
      <c r="F227" s="4" t="s">
        <v>7</v>
      </c>
      <c r="G227" s="4" t="s">
        <v>8</v>
      </c>
    </row>
    <row r="228" spans="2:7" x14ac:dyDescent="0.25">
      <c r="B228" s="3" t="s">
        <v>49</v>
      </c>
      <c r="C228" s="4" t="s">
        <v>25</v>
      </c>
      <c r="D228" t="str">
        <f t="shared" si="3"/>
        <v>18°-Capricorn</v>
      </c>
      <c r="E228" s="4" t="s">
        <v>7</v>
      </c>
      <c r="F228" s="4" t="s">
        <v>9</v>
      </c>
      <c r="G228" s="4" t="s">
        <v>11</v>
      </c>
    </row>
    <row r="229" spans="2:7" x14ac:dyDescent="0.25">
      <c r="B229" s="3" t="s">
        <v>49</v>
      </c>
      <c r="C229" s="4" t="s">
        <v>27</v>
      </c>
      <c r="D229" t="str">
        <f t="shared" si="3"/>
        <v>18°-Aquarius</v>
      </c>
      <c r="E229" s="4" t="s">
        <v>10</v>
      </c>
      <c r="F229" s="4" t="s">
        <v>12</v>
      </c>
      <c r="G229" s="4" t="s">
        <v>13</v>
      </c>
    </row>
    <row r="230" spans="2:7" x14ac:dyDescent="0.25">
      <c r="B230" s="3" t="s">
        <v>49</v>
      </c>
      <c r="C230" s="4" t="s">
        <v>29</v>
      </c>
      <c r="D230" t="str">
        <f t="shared" si="3"/>
        <v>18°-Pisces</v>
      </c>
      <c r="E230" s="4" t="s">
        <v>7</v>
      </c>
      <c r="F230" s="4" t="s">
        <v>14</v>
      </c>
      <c r="G230" s="4" t="s">
        <v>15</v>
      </c>
    </row>
    <row r="231" spans="2:7" x14ac:dyDescent="0.25">
      <c r="B231" s="3" t="s">
        <v>47</v>
      </c>
      <c r="C231" s="4" t="s">
        <v>7</v>
      </c>
      <c r="D231" t="str">
        <f t="shared" si="3"/>
        <v>19°-Aries</v>
      </c>
      <c r="E231" s="4" t="s">
        <v>21</v>
      </c>
      <c r="F231" s="4" t="s">
        <v>16</v>
      </c>
      <c r="G231" s="4" t="s">
        <v>17</v>
      </c>
    </row>
    <row r="232" spans="2:7" x14ac:dyDescent="0.25">
      <c r="B232" s="3" t="s">
        <v>47</v>
      </c>
      <c r="C232" s="4" t="s">
        <v>9</v>
      </c>
      <c r="D232" t="str">
        <f t="shared" si="3"/>
        <v>19°-Taurus</v>
      </c>
      <c r="E232" s="4" t="s">
        <v>9</v>
      </c>
      <c r="F232" s="4" t="s">
        <v>18</v>
      </c>
      <c r="G232" s="4" t="s">
        <v>19</v>
      </c>
    </row>
    <row r="233" spans="2:7" x14ac:dyDescent="0.25">
      <c r="B233" s="3" t="s">
        <v>47</v>
      </c>
      <c r="C233" s="4" t="s">
        <v>12</v>
      </c>
      <c r="D233" t="str">
        <f t="shared" si="3"/>
        <v>19°-Gemini</v>
      </c>
      <c r="E233" s="4" t="s">
        <v>21</v>
      </c>
      <c r="F233" s="4" t="s">
        <v>10</v>
      </c>
      <c r="G233" s="4" t="s">
        <v>20</v>
      </c>
    </row>
    <row r="234" spans="2:7" x14ac:dyDescent="0.25">
      <c r="B234" s="3" t="s">
        <v>47</v>
      </c>
      <c r="C234" s="4" t="s">
        <v>14</v>
      </c>
      <c r="D234" t="str">
        <f t="shared" si="3"/>
        <v>19°-Cancer</v>
      </c>
      <c r="E234" s="4" t="s">
        <v>9</v>
      </c>
      <c r="F234" s="4" t="s">
        <v>21</v>
      </c>
      <c r="G234" s="4" t="s">
        <v>22</v>
      </c>
    </row>
    <row r="235" spans="2:7" x14ac:dyDescent="0.25">
      <c r="B235" s="3" t="s">
        <v>47</v>
      </c>
      <c r="C235" s="4" t="s">
        <v>16</v>
      </c>
      <c r="D235" t="str">
        <f t="shared" si="3"/>
        <v>19°-Leo</v>
      </c>
      <c r="E235" s="4" t="s">
        <v>21</v>
      </c>
      <c r="F235" s="4" t="s">
        <v>23</v>
      </c>
      <c r="G235" s="4" t="s">
        <v>24</v>
      </c>
    </row>
    <row r="236" spans="2:7" x14ac:dyDescent="0.25">
      <c r="B236" s="3" t="s">
        <v>47</v>
      </c>
      <c r="C236" s="4" t="s">
        <v>18</v>
      </c>
      <c r="D236" t="str">
        <f t="shared" si="3"/>
        <v>19°-Virgo</v>
      </c>
      <c r="E236" s="4" t="s">
        <v>9</v>
      </c>
      <c r="F236" s="4" t="s">
        <v>25</v>
      </c>
      <c r="G236" s="4" t="s">
        <v>26</v>
      </c>
    </row>
    <row r="237" spans="2:7" x14ac:dyDescent="0.25">
      <c r="B237" s="3" t="s">
        <v>47</v>
      </c>
      <c r="C237" s="4" t="s">
        <v>10</v>
      </c>
      <c r="D237" t="str">
        <f t="shared" si="3"/>
        <v>19°-Libra</v>
      </c>
      <c r="E237" s="4" t="s">
        <v>21</v>
      </c>
      <c r="F237" s="4" t="s">
        <v>27</v>
      </c>
      <c r="G237" s="4" t="s">
        <v>28</v>
      </c>
    </row>
    <row r="238" spans="2:7" x14ac:dyDescent="0.25">
      <c r="B238" s="3" t="s">
        <v>47</v>
      </c>
      <c r="C238" s="4" t="s">
        <v>21</v>
      </c>
      <c r="D238" t="str">
        <f t="shared" si="3"/>
        <v>19°-Scorpio</v>
      </c>
      <c r="E238" s="4" t="s">
        <v>9</v>
      </c>
      <c r="F238" s="4" t="s">
        <v>29</v>
      </c>
      <c r="G238" s="4" t="s">
        <v>30</v>
      </c>
    </row>
    <row r="239" spans="2:7" x14ac:dyDescent="0.25">
      <c r="B239" s="3" t="s">
        <v>47</v>
      </c>
      <c r="C239" s="4" t="s">
        <v>23</v>
      </c>
      <c r="D239" t="str">
        <f t="shared" si="3"/>
        <v>19°-Sagittarius</v>
      </c>
      <c r="E239" s="4" t="s">
        <v>21</v>
      </c>
      <c r="F239" s="4" t="s">
        <v>7</v>
      </c>
      <c r="G239" s="4" t="s">
        <v>8</v>
      </c>
    </row>
    <row r="240" spans="2:7" x14ac:dyDescent="0.25">
      <c r="B240" s="3" t="s">
        <v>47</v>
      </c>
      <c r="C240" s="4" t="s">
        <v>25</v>
      </c>
      <c r="D240" t="str">
        <f t="shared" si="3"/>
        <v>19°-Capricorn</v>
      </c>
      <c r="E240" s="4" t="s">
        <v>9</v>
      </c>
      <c r="F240" s="4" t="s">
        <v>9</v>
      </c>
      <c r="G240" s="4" t="s">
        <v>11</v>
      </c>
    </row>
    <row r="241" spans="2:7" x14ac:dyDescent="0.25">
      <c r="B241" s="3" t="s">
        <v>47</v>
      </c>
      <c r="C241" s="4" t="s">
        <v>27</v>
      </c>
      <c r="D241" t="str">
        <f t="shared" si="3"/>
        <v>19°-Aquarius</v>
      </c>
      <c r="E241" s="4" t="s">
        <v>21</v>
      </c>
      <c r="F241" s="4" t="s">
        <v>12</v>
      </c>
      <c r="G241" s="4" t="s">
        <v>13</v>
      </c>
    </row>
    <row r="242" spans="2:7" x14ac:dyDescent="0.25">
      <c r="B242" s="3" t="s">
        <v>47</v>
      </c>
      <c r="C242" s="4" t="s">
        <v>29</v>
      </c>
      <c r="D242" t="str">
        <f t="shared" si="3"/>
        <v>19°-Pisces</v>
      </c>
      <c r="E242" s="4" t="s">
        <v>9</v>
      </c>
      <c r="F242" s="4" t="s">
        <v>14</v>
      </c>
      <c r="G242" s="4" t="s">
        <v>15</v>
      </c>
    </row>
    <row r="243" spans="2:7" x14ac:dyDescent="0.25">
      <c r="B243" s="3" t="s">
        <v>50</v>
      </c>
      <c r="C243" s="4" t="s">
        <v>7</v>
      </c>
      <c r="D243" t="str">
        <f t="shared" si="3"/>
        <v>20°-Aries</v>
      </c>
      <c r="E243" s="4" t="s">
        <v>23</v>
      </c>
      <c r="F243" s="4" t="s">
        <v>23</v>
      </c>
      <c r="G243" s="4" t="s">
        <v>24</v>
      </c>
    </row>
    <row r="244" spans="2:7" x14ac:dyDescent="0.25">
      <c r="B244" s="3" t="s">
        <v>50</v>
      </c>
      <c r="C244" s="4" t="s">
        <v>9</v>
      </c>
      <c r="D244" t="str">
        <f t="shared" si="3"/>
        <v>20°-Taurus</v>
      </c>
      <c r="E244" s="4" t="s">
        <v>12</v>
      </c>
      <c r="F244" s="4" t="s">
        <v>25</v>
      </c>
      <c r="G244" s="4" t="s">
        <v>26</v>
      </c>
    </row>
    <row r="245" spans="2:7" x14ac:dyDescent="0.25">
      <c r="B245" s="3" t="s">
        <v>50</v>
      </c>
      <c r="C245" s="4" t="s">
        <v>12</v>
      </c>
      <c r="D245" t="str">
        <f t="shared" si="3"/>
        <v>20°-Gemini</v>
      </c>
      <c r="E245" s="4" t="s">
        <v>23</v>
      </c>
      <c r="F245" s="4" t="s">
        <v>27</v>
      </c>
      <c r="G245" s="4" t="s">
        <v>28</v>
      </c>
    </row>
    <row r="246" spans="2:7" x14ac:dyDescent="0.25">
      <c r="B246" s="3" t="s">
        <v>50</v>
      </c>
      <c r="C246" s="4" t="s">
        <v>14</v>
      </c>
      <c r="D246" t="str">
        <f t="shared" si="3"/>
        <v>20°-Cancer</v>
      </c>
      <c r="E246" s="4" t="s">
        <v>12</v>
      </c>
      <c r="F246" s="4" t="s">
        <v>29</v>
      </c>
      <c r="G246" s="4" t="s">
        <v>30</v>
      </c>
    </row>
    <row r="247" spans="2:7" x14ac:dyDescent="0.25">
      <c r="B247" s="3" t="s">
        <v>50</v>
      </c>
      <c r="C247" s="4" t="s">
        <v>16</v>
      </c>
      <c r="D247" t="str">
        <f t="shared" si="3"/>
        <v>20°-Leo</v>
      </c>
      <c r="E247" s="4" t="s">
        <v>23</v>
      </c>
      <c r="F247" s="4" t="s">
        <v>7</v>
      </c>
      <c r="G247" s="4" t="s">
        <v>8</v>
      </c>
    </row>
    <row r="248" spans="2:7" x14ac:dyDescent="0.25">
      <c r="B248" s="3" t="s">
        <v>50</v>
      </c>
      <c r="C248" s="4" t="s">
        <v>18</v>
      </c>
      <c r="D248" t="str">
        <f t="shared" si="3"/>
        <v>20°-Virgo</v>
      </c>
      <c r="E248" s="4" t="s">
        <v>12</v>
      </c>
      <c r="F248" s="4" t="s">
        <v>9</v>
      </c>
      <c r="G248" s="4" t="s">
        <v>11</v>
      </c>
    </row>
    <row r="249" spans="2:7" x14ac:dyDescent="0.25">
      <c r="B249" s="3" t="s">
        <v>50</v>
      </c>
      <c r="C249" s="4" t="s">
        <v>10</v>
      </c>
      <c r="D249" t="str">
        <f t="shared" si="3"/>
        <v>20°-Libra</v>
      </c>
      <c r="E249" s="4" t="s">
        <v>23</v>
      </c>
      <c r="F249" s="4" t="s">
        <v>12</v>
      </c>
      <c r="G249" s="4" t="s">
        <v>13</v>
      </c>
    </row>
    <row r="250" spans="2:7" x14ac:dyDescent="0.25">
      <c r="B250" s="3" t="s">
        <v>50</v>
      </c>
      <c r="C250" s="4" t="s">
        <v>21</v>
      </c>
      <c r="D250" t="str">
        <f t="shared" si="3"/>
        <v>20°-Scorpio</v>
      </c>
      <c r="E250" s="4" t="s">
        <v>12</v>
      </c>
      <c r="F250" s="4" t="s">
        <v>14</v>
      </c>
      <c r="G250" s="4" t="s">
        <v>15</v>
      </c>
    </row>
    <row r="251" spans="2:7" x14ac:dyDescent="0.25">
      <c r="B251" s="3" t="s">
        <v>50</v>
      </c>
      <c r="C251" s="4" t="s">
        <v>23</v>
      </c>
      <c r="D251" t="str">
        <f t="shared" si="3"/>
        <v>20°-Sagittarius</v>
      </c>
      <c r="E251" s="4" t="s">
        <v>23</v>
      </c>
      <c r="F251" s="4" t="s">
        <v>16</v>
      </c>
      <c r="G251" s="4" t="s">
        <v>17</v>
      </c>
    </row>
    <row r="252" spans="2:7" x14ac:dyDescent="0.25">
      <c r="B252" s="3" t="s">
        <v>50</v>
      </c>
      <c r="C252" s="4" t="s">
        <v>25</v>
      </c>
      <c r="D252" t="str">
        <f t="shared" si="3"/>
        <v>20°-Capricorn</v>
      </c>
      <c r="E252" s="4" t="s">
        <v>12</v>
      </c>
      <c r="F252" s="4" t="s">
        <v>18</v>
      </c>
      <c r="G252" s="4" t="s">
        <v>19</v>
      </c>
    </row>
    <row r="253" spans="2:7" x14ac:dyDescent="0.25">
      <c r="B253" s="3" t="s">
        <v>50</v>
      </c>
      <c r="C253" s="4" t="s">
        <v>27</v>
      </c>
      <c r="D253" t="str">
        <f t="shared" si="3"/>
        <v>20°-Aquarius</v>
      </c>
      <c r="E253" s="4" t="s">
        <v>23</v>
      </c>
      <c r="F253" s="4" t="s">
        <v>10</v>
      </c>
      <c r="G253" s="4" t="s">
        <v>20</v>
      </c>
    </row>
    <row r="254" spans="2:7" x14ac:dyDescent="0.25">
      <c r="B254" s="3" t="s">
        <v>50</v>
      </c>
      <c r="C254" s="4" t="s">
        <v>29</v>
      </c>
      <c r="D254" t="str">
        <f t="shared" si="3"/>
        <v>20°-Pisces</v>
      </c>
      <c r="E254" s="4" t="s">
        <v>12</v>
      </c>
      <c r="F254" s="4" t="s">
        <v>21</v>
      </c>
      <c r="G254" s="4" t="s">
        <v>22</v>
      </c>
    </row>
    <row r="255" spans="2:7" x14ac:dyDescent="0.25">
      <c r="B255" s="3" t="s">
        <v>51</v>
      </c>
      <c r="C255" s="4" t="s">
        <v>7</v>
      </c>
      <c r="D255" t="str">
        <f t="shared" si="3"/>
        <v>21°-Aries</v>
      </c>
      <c r="E255" s="4" t="s">
        <v>25</v>
      </c>
      <c r="F255" s="4" t="s">
        <v>23</v>
      </c>
      <c r="G255" s="4" t="s">
        <v>24</v>
      </c>
    </row>
    <row r="256" spans="2:7" x14ac:dyDescent="0.25">
      <c r="B256" s="3" t="s">
        <v>51</v>
      </c>
      <c r="C256" s="4" t="s">
        <v>9</v>
      </c>
      <c r="D256" t="str">
        <f t="shared" si="3"/>
        <v>21°-Taurus</v>
      </c>
      <c r="E256" s="4" t="s">
        <v>14</v>
      </c>
      <c r="F256" s="4" t="s">
        <v>25</v>
      </c>
      <c r="G256" s="4" t="s">
        <v>26</v>
      </c>
    </row>
    <row r="257" spans="2:7" x14ac:dyDescent="0.25">
      <c r="B257" s="3" t="s">
        <v>51</v>
      </c>
      <c r="C257" s="4" t="s">
        <v>12</v>
      </c>
      <c r="D257" t="str">
        <f t="shared" si="3"/>
        <v>21°-Gemini</v>
      </c>
      <c r="E257" s="4" t="s">
        <v>25</v>
      </c>
      <c r="F257" s="4" t="s">
        <v>27</v>
      </c>
      <c r="G257" s="4" t="s">
        <v>28</v>
      </c>
    </row>
    <row r="258" spans="2:7" x14ac:dyDescent="0.25">
      <c r="B258" s="3" t="s">
        <v>51</v>
      </c>
      <c r="C258" s="4" t="s">
        <v>14</v>
      </c>
      <c r="D258" t="str">
        <f t="shared" si="3"/>
        <v>21°-Cancer</v>
      </c>
      <c r="E258" s="4" t="s">
        <v>14</v>
      </c>
      <c r="F258" s="4" t="s">
        <v>29</v>
      </c>
      <c r="G258" s="4" t="s">
        <v>30</v>
      </c>
    </row>
    <row r="259" spans="2:7" x14ac:dyDescent="0.25">
      <c r="B259" s="3" t="s">
        <v>51</v>
      </c>
      <c r="C259" s="4" t="s">
        <v>16</v>
      </c>
      <c r="D259" t="str">
        <f t="shared" si="3"/>
        <v>21°-Leo</v>
      </c>
      <c r="E259" s="4" t="s">
        <v>25</v>
      </c>
      <c r="F259" s="4" t="s">
        <v>7</v>
      </c>
      <c r="G259" s="4" t="s">
        <v>8</v>
      </c>
    </row>
    <row r="260" spans="2:7" x14ac:dyDescent="0.25">
      <c r="B260" s="3" t="s">
        <v>51</v>
      </c>
      <c r="C260" s="4" t="s">
        <v>18</v>
      </c>
      <c r="D260" t="str">
        <f t="shared" ref="D260:D323" si="4">B260&amp;"-"&amp;C260</f>
        <v>21°-Virgo</v>
      </c>
      <c r="E260" s="4" t="s">
        <v>14</v>
      </c>
      <c r="F260" s="4" t="s">
        <v>9</v>
      </c>
      <c r="G260" s="4" t="s">
        <v>11</v>
      </c>
    </row>
    <row r="261" spans="2:7" x14ac:dyDescent="0.25">
      <c r="B261" s="3" t="s">
        <v>51</v>
      </c>
      <c r="C261" s="4" t="s">
        <v>10</v>
      </c>
      <c r="D261" t="str">
        <f t="shared" si="4"/>
        <v>21°-Libra</v>
      </c>
      <c r="E261" s="4" t="s">
        <v>25</v>
      </c>
      <c r="F261" s="4" t="s">
        <v>12</v>
      </c>
      <c r="G261" s="4" t="s">
        <v>13</v>
      </c>
    </row>
    <row r="262" spans="2:7" x14ac:dyDescent="0.25">
      <c r="B262" s="3" t="s">
        <v>51</v>
      </c>
      <c r="C262" s="4" t="s">
        <v>21</v>
      </c>
      <c r="D262" t="str">
        <f t="shared" si="4"/>
        <v>21°-Scorpio</v>
      </c>
      <c r="E262" s="4" t="s">
        <v>14</v>
      </c>
      <c r="F262" s="4" t="s">
        <v>14</v>
      </c>
      <c r="G262" s="4" t="s">
        <v>15</v>
      </c>
    </row>
    <row r="263" spans="2:7" x14ac:dyDescent="0.25">
      <c r="B263" s="3" t="s">
        <v>51</v>
      </c>
      <c r="C263" s="4" t="s">
        <v>23</v>
      </c>
      <c r="D263" t="str">
        <f t="shared" si="4"/>
        <v>21°-Sagittarius</v>
      </c>
      <c r="E263" s="4" t="s">
        <v>25</v>
      </c>
      <c r="F263" s="4" t="s">
        <v>16</v>
      </c>
      <c r="G263" s="4" t="s">
        <v>17</v>
      </c>
    </row>
    <row r="264" spans="2:7" x14ac:dyDescent="0.25">
      <c r="B264" s="3" t="s">
        <v>51</v>
      </c>
      <c r="C264" s="4" t="s">
        <v>25</v>
      </c>
      <c r="D264" t="str">
        <f t="shared" si="4"/>
        <v>21°-Capricorn</v>
      </c>
      <c r="E264" s="4" t="s">
        <v>14</v>
      </c>
      <c r="F264" s="4" t="s">
        <v>18</v>
      </c>
      <c r="G264" s="4" t="s">
        <v>19</v>
      </c>
    </row>
    <row r="265" spans="2:7" x14ac:dyDescent="0.25">
      <c r="B265" s="3" t="s">
        <v>51</v>
      </c>
      <c r="C265" s="4" t="s">
        <v>27</v>
      </c>
      <c r="D265" t="str">
        <f t="shared" si="4"/>
        <v>21°-Aquarius</v>
      </c>
      <c r="E265" s="4" t="s">
        <v>25</v>
      </c>
      <c r="F265" s="4" t="s">
        <v>10</v>
      </c>
      <c r="G265" s="4" t="s">
        <v>20</v>
      </c>
    </row>
    <row r="266" spans="2:7" x14ac:dyDescent="0.25">
      <c r="B266" s="3" t="s">
        <v>51</v>
      </c>
      <c r="C266" s="4" t="s">
        <v>29</v>
      </c>
      <c r="D266" t="str">
        <f t="shared" si="4"/>
        <v>21°-Pisces</v>
      </c>
      <c r="E266" s="4" t="s">
        <v>14</v>
      </c>
      <c r="F266" s="4" t="s">
        <v>21</v>
      </c>
      <c r="G266" s="4" t="s">
        <v>22</v>
      </c>
    </row>
    <row r="267" spans="2:7" x14ac:dyDescent="0.25">
      <c r="B267" s="3" t="s">
        <v>52</v>
      </c>
      <c r="C267" s="4" t="s">
        <v>7</v>
      </c>
      <c r="D267" t="str">
        <f t="shared" si="4"/>
        <v>22°-Aries</v>
      </c>
      <c r="E267" s="4" t="s">
        <v>27</v>
      </c>
      <c r="F267" s="4" t="s">
        <v>23</v>
      </c>
      <c r="G267" s="4" t="s">
        <v>24</v>
      </c>
    </row>
    <row r="268" spans="2:7" x14ac:dyDescent="0.25">
      <c r="B268" s="3" t="s">
        <v>52</v>
      </c>
      <c r="C268" s="4" t="s">
        <v>9</v>
      </c>
      <c r="D268" t="str">
        <f t="shared" si="4"/>
        <v>22°-Taurus</v>
      </c>
      <c r="E268" s="4" t="s">
        <v>16</v>
      </c>
      <c r="F268" s="4" t="s">
        <v>25</v>
      </c>
      <c r="G268" s="4" t="s">
        <v>26</v>
      </c>
    </row>
    <row r="269" spans="2:7" x14ac:dyDescent="0.25">
      <c r="B269" s="3" t="s">
        <v>52</v>
      </c>
      <c r="C269" s="4" t="s">
        <v>12</v>
      </c>
      <c r="D269" t="str">
        <f t="shared" si="4"/>
        <v>22°-Gemini</v>
      </c>
      <c r="E269" s="4" t="s">
        <v>27</v>
      </c>
      <c r="F269" s="4" t="s">
        <v>27</v>
      </c>
      <c r="G269" s="4" t="s">
        <v>28</v>
      </c>
    </row>
    <row r="270" spans="2:7" x14ac:dyDescent="0.25">
      <c r="B270" s="3" t="s">
        <v>52</v>
      </c>
      <c r="C270" s="4" t="s">
        <v>14</v>
      </c>
      <c r="D270" t="str">
        <f t="shared" si="4"/>
        <v>22°-Cancer</v>
      </c>
      <c r="E270" s="4" t="s">
        <v>16</v>
      </c>
      <c r="F270" s="4" t="s">
        <v>29</v>
      </c>
      <c r="G270" s="4" t="s">
        <v>30</v>
      </c>
    </row>
    <row r="271" spans="2:7" x14ac:dyDescent="0.25">
      <c r="B271" s="3" t="s">
        <v>52</v>
      </c>
      <c r="C271" s="4" t="s">
        <v>16</v>
      </c>
      <c r="D271" t="str">
        <f t="shared" si="4"/>
        <v>22°-Leo</v>
      </c>
      <c r="E271" s="4" t="s">
        <v>27</v>
      </c>
      <c r="F271" s="4" t="s">
        <v>7</v>
      </c>
      <c r="G271" s="4" t="s">
        <v>8</v>
      </c>
    </row>
    <row r="272" spans="2:7" x14ac:dyDescent="0.25">
      <c r="B272" s="3" t="s">
        <v>52</v>
      </c>
      <c r="C272" s="4" t="s">
        <v>18</v>
      </c>
      <c r="D272" t="str">
        <f t="shared" si="4"/>
        <v>22°-Virgo</v>
      </c>
      <c r="E272" s="4" t="s">
        <v>16</v>
      </c>
      <c r="F272" s="4" t="s">
        <v>9</v>
      </c>
      <c r="G272" s="4" t="s">
        <v>11</v>
      </c>
    </row>
    <row r="273" spans="2:7" x14ac:dyDescent="0.25">
      <c r="B273" s="3" t="s">
        <v>52</v>
      </c>
      <c r="C273" s="4" t="s">
        <v>10</v>
      </c>
      <c r="D273" t="str">
        <f t="shared" si="4"/>
        <v>22°-Libra</v>
      </c>
      <c r="E273" s="4" t="s">
        <v>27</v>
      </c>
      <c r="F273" s="4" t="s">
        <v>12</v>
      </c>
      <c r="G273" s="4" t="s">
        <v>13</v>
      </c>
    </row>
    <row r="274" spans="2:7" x14ac:dyDescent="0.25">
      <c r="B274" s="3" t="s">
        <v>52</v>
      </c>
      <c r="C274" s="4" t="s">
        <v>21</v>
      </c>
      <c r="D274" t="str">
        <f t="shared" si="4"/>
        <v>22°-Scorpio</v>
      </c>
      <c r="E274" s="4" t="s">
        <v>16</v>
      </c>
      <c r="F274" s="4" t="s">
        <v>14</v>
      </c>
      <c r="G274" s="4" t="s">
        <v>15</v>
      </c>
    </row>
    <row r="275" spans="2:7" x14ac:dyDescent="0.25">
      <c r="B275" s="3" t="s">
        <v>52</v>
      </c>
      <c r="C275" s="4" t="s">
        <v>23</v>
      </c>
      <c r="D275" t="str">
        <f t="shared" si="4"/>
        <v>22°-Sagittarius</v>
      </c>
      <c r="E275" s="4" t="s">
        <v>27</v>
      </c>
      <c r="F275" s="4" t="s">
        <v>16</v>
      </c>
      <c r="G275" s="4" t="s">
        <v>17</v>
      </c>
    </row>
    <row r="276" spans="2:7" x14ac:dyDescent="0.25">
      <c r="B276" s="3" t="s">
        <v>52</v>
      </c>
      <c r="C276" s="4" t="s">
        <v>25</v>
      </c>
      <c r="D276" t="str">
        <f t="shared" si="4"/>
        <v>22°-Capricorn</v>
      </c>
      <c r="E276" s="4" t="s">
        <v>16</v>
      </c>
      <c r="F276" s="4" t="s">
        <v>18</v>
      </c>
      <c r="G276" s="4" t="s">
        <v>19</v>
      </c>
    </row>
    <row r="277" spans="2:7" x14ac:dyDescent="0.25">
      <c r="B277" s="3" t="s">
        <v>52</v>
      </c>
      <c r="C277" s="4" t="s">
        <v>27</v>
      </c>
      <c r="D277" t="str">
        <f t="shared" si="4"/>
        <v>22°-Aquarius</v>
      </c>
      <c r="E277" s="4" t="s">
        <v>27</v>
      </c>
      <c r="F277" s="4" t="s">
        <v>10</v>
      </c>
      <c r="G277" s="4" t="s">
        <v>20</v>
      </c>
    </row>
    <row r="278" spans="2:7" x14ac:dyDescent="0.25">
      <c r="B278" s="3" t="s">
        <v>52</v>
      </c>
      <c r="C278" s="4" t="s">
        <v>29</v>
      </c>
      <c r="D278" t="str">
        <f t="shared" si="4"/>
        <v>22°-Pisces</v>
      </c>
      <c r="E278" s="4" t="s">
        <v>16</v>
      </c>
      <c r="F278" s="4" t="s">
        <v>21</v>
      </c>
      <c r="G278" s="4" t="s">
        <v>22</v>
      </c>
    </row>
    <row r="279" spans="2:7" x14ac:dyDescent="0.25">
      <c r="B279" s="3" t="s">
        <v>53</v>
      </c>
      <c r="C279" s="4" t="s">
        <v>7</v>
      </c>
      <c r="D279" t="str">
        <f t="shared" si="4"/>
        <v>23°-Aries</v>
      </c>
      <c r="E279" s="4" t="s">
        <v>29</v>
      </c>
      <c r="F279" s="4" t="s">
        <v>23</v>
      </c>
      <c r="G279" s="4" t="s">
        <v>24</v>
      </c>
    </row>
    <row r="280" spans="2:7" x14ac:dyDescent="0.25">
      <c r="B280" s="3" t="s">
        <v>53</v>
      </c>
      <c r="C280" s="4" t="s">
        <v>9</v>
      </c>
      <c r="D280" t="str">
        <f t="shared" si="4"/>
        <v>23°-Taurus</v>
      </c>
      <c r="E280" s="4" t="s">
        <v>18</v>
      </c>
      <c r="F280" s="4" t="s">
        <v>25</v>
      </c>
      <c r="G280" s="4" t="s">
        <v>26</v>
      </c>
    </row>
    <row r="281" spans="2:7" x14ac:dyDescent="0.25">
      <c r="B281" s="3" t="s">
        <v>53</v>
      </c>
      <c r="C281" s="4" t="s">
        <v>12</v>
      </c>
      <c r="D281" t="str">
        <f t="shared" si="4"/>
        <v>23°-Gemini</v>
      </c>
      <c r="E281" s="4" t="s">
        <v>29</v>
      </c>
      <c r="F281" s="4" t="s">
        <v>27</v>
      </c>
      <c r="G281" s="4" t="s">
        <v>28</v>
      </c>
    </row>
    <row r="282" spans="2:7" x14ac:dyDescent="0.25">
      <c r="B282" s="3" t="s">
        <v>53</v>
      </c>
      <c r="C282" s="4" t="s">
        <v>14</v>
      </c>
      <c r="D282" t="str">
        <f t="shared" si="4"/>
        <v>23°-Cancer</v>
      </c>
      <c r="E282" s="4" t="s">
        <v>18</v>
      </c>
      <c r="F282" s="4" t="s">
        <v>29</v>
      </c>
      <c r="G282" s="4" t="s">
        <v>30</v>
      </c>
    </row>
    <row r="283" spans="2:7" x14ac:dyDescent="0.25">
      <c r="B283" s="3" t="s">
        <v>53</v>
      </c>
      <c r="C283" s="4" t="s">
        <v>16</v>
      </c>
      <c r="D283" t="str">
        <f t="shared" si="4"/>
        <v>23°-Leo</v>
      </c>
      <c r="E283" s="4" t="s">
        <v>29</v>
      </c>
      <c r="F283" s="4" t="s">
        <v>7</v>
      </c>
      <c r="G283" s="4" t="s">
        <v>8</v>
      </c>
    </row>
    <row r="284" spans="2:7" x14ac:dyDescent="0.25">
      <c r="B284" s="3" t="s">
        <v>53</v>
      </c>
      <c r="C284" s="4" t="s">
        <v>18</v>
      </c>
      <c r="D284" t="str">
        <f t="shared" si="4"/>
        <v>23°-Virgo</v>
      </c>
      <c r="E284" s="4" t="s">
        <v>18</v>
      </c>
      <c r="F284" s="4" t="s">
        <v>9</v>
      </c>
      <c r="G284" s="4" t="s">
        <v>11</v>
      </c>
    </row>
    <row r="285" spans="2:7" x14ac:dyDescent="0.25">
      <c r="B285" s="3" t="s">
        <v>53</v>
      </c>
      <c r="C285" s="4" t="s">
        <v>10</v>
      </c>
      <c r="D285" t="str">
        <f t="shared" si="4"/>
        <v>23°-Libra</v>
      </c>
      <c r="E285" s="4" t="s">
        <v>29</v>
      </c>
      <c r="F285" s="4" t="s">
        <v>12</v>
      </c>
      <c r="G285" s="4" t="s">
        <v>13</v>
      </c>
    </row>
    <row r="286" spans="2:7" x14ac:dyDescent="0.25">
      <c r="B286" s="3" t="s">
        <v>53</v>
      </c>
      <c r="C286" s="4" t="s">
        <v>21</v>
      </c>
      <c r="D286" t="str">
        <f t="shared" si="4"/>
        <v>23°-Scorpio</v>
      </c>
      <c r="E286" s="4" t="s">
        <v>18</v>
      </c>
      <c r="F286" s="4" t="s">
        <v>14</v>
      </c>
      <c r="G286" s="4" t="s">
        <v>15</v>
      </c>
    </row>
    <row r="287" spans="2:7" x14ac:dyDescent="0.25">
      <c r="B287" s="3" t="s">
        <v>53</v>
      </c>
      <c r="C287" s="4" t="s">
        <v>23</v>
      </c>
      <c r="D287" t="str">
        <f t="shared" si="4"/>
        <v>23°-Sagittarius</v>
      </c>
      <c r="E287" s="4" t="s">
        <v>29</v>
      </c>
      <c r="F287" s="4" t="s">
        <v>16</v>
      </c>
      <c r="G287" s="4" t="s">
        <v>17</v>
      </c>
    </row>
    <row r="288" spans="2:7" x14ac:dyDescent="0.25">
      <c r="B288" s="3" t="s">
        <v>53</v>
      </c>
      <c r="C288" s="4" t="s">
        <v>25</v>
      </c>
      <c r="D288" t="str">
        <f t="shared" si="4"/>
        <v>23°-Capricorn</v>
      </c>
      <c r="E288" s="4" t="s">
        <v>18</v>
      </c>
      <c r="F288" s="4" t="s">
        <v>18</v>
      </c>
      <c r="G288" s="4" t="s">
        <v>19</v>
      </c>
    </row>
    <row r="289" spans="2:7" x14ac:dyDescent="0.25">
      <c r="B289" s="3" t="s">
        <v>53</v>
      </c>
      <c r="C289" s="4" t="s">
        <v>27</v>
      </c>
      <c r="D289" t="str">
        <f t="shared" si="4"/>
        <v>23°-Aquarius</v>
      </c>
      <c r="E289" s="4" t="s">
        <v>29</v>
      </c>
      <c r="F289" s="4" t="s">
        <v>10</v>
      </c>
      <c r="G289" s="4" t="s">
        <v>20</v>
      </c>
    </row>
    <row r="290" spans="2:7" x14ac:dyDescent="0.25">
      <c r="B290" s="3" t="s">
        <v>53</v>
      </c>
      <c r="C290" s="4" t="s">
        <v>29</v>
      </c>
      <c r="D290" t="str">
        <f t="shared" si="4"/>
        <v>23°-Pisces</v>
      </c>
      <c r="E290" s="4" t="s">
        <v>18</v>
      </c>
      <c r="F290" s="4" t="s">
        <v>21</v>
      </c>
      <c r="G290" s="4" t="s">
        <v>22</v>
      </c>
    </row>
    <row r="291" spans="2:7" x14ac:dyDescent="0.25">
      <c r="B291" s="3" t="s">
        <v>54</v>
      </c>
      <c r="C291" s="4" t="s">
        <v>7</v>
      </c>
      <c r="D291" t="str">
        <f t="shared" si="4"/>
        <v>24°-Aries</v>
      </c>
      <c r="E291" s="4" t="s">
        <v>7</v>
      </c>
      <c r="F291" s="4" t="s">
        <v>23</v>
      </c>
      <c r="G291" s="4" t="s">
        <v>24</v>
      </c>
    </row>
    <row r="292" spans="2:7" x14ac:dyDescent="0.25">
      <c r="B292" s="3" t="s">
        <v>54</v>
      </c>
      <c r="C292" s="4" t="s">
        <v>9</v>
      </c>
      <c r="D292" t="str">
        <f t="shared" si="4"/>
        <v>24°-Taurus</v>
      </c>
      <c r="E292" s="4" t="s">
        <v>10</v>
      </c>
      <c r="F292" s="4" t="s">
        <v>25</v>
      </c>
      <c r="G292" s="4" t="s">
        <v>26</v>
      </c>
    </row>
    <row r="293" spans="2:7" x14ac:dyDescent="0.25">
      <c r="B293" s="3" t="s">
        <v>54</v>
      </c>
      <c r="C293" s="4" t="s">
        <v>12</v>
      </c>
      <c r="D293" t="str">
        <f t="shared" si="4"/>
        <v>24°-Gemini</v>
      </c>
      <c r="E293" s="4" t="s">
        <v>7</v>
      </c>
      <c r="F293" s="4" t="s">
        <v>27</v>
      </c>
      <c r="G293" s="4" t="s">
        <v>28</v>
      </c>
    </row>
    <row r="294" spans="2:7" x14ac:dyDescent="0.25">
      <c r="B294" s="3" t="s">
        <v>54</v>
      </c>
      <c r="C294" s="4" t="s">
        <v>14</v>
      </c>
      <c r="D294" t="str">
        <f t="shared" si="4"/>
        <v>24°-Cancer</v>
      </c>
      <c r="E294" s="4" t="s">
        <v>10</v>
      </c>
      <c r="F294" s="4" t="s">
        <v>29</v>
      </c>
      <c r="G294" s="4" t="s">
        <v>30</v>
      </c>
    </row>
    <row r="295" spans="2:7" x14ac:dyDescent="0.25">
      <c r="B295" s="3" t="s">
        <v>54</v>
      </c>
      <c r="C295" s="4" t="s">
        <v>16</v>
      </c>
      <c r="D295" t="str">
        <f t="shared" si="4"/>
        <v>24°-Leo</v>
      </c>
      <c r="E295" s="4" t="s">
        <v>7</v>
      </c>
      <c r="F295" s="4" t="s">
        <v>7</v>
      </c>
      <c r="G295" s="4" t="s">
        <v>8</v>
      </c>
    </row>
    <row r="296" spans="2:7" x14ac:dyDescent="0.25">
      <c r="B296" s="3" t="s">
        <v>54</v>
      </c>
      <c r="C296" s="4" t="s">
        <v>18</v>
      </c>
      <c r="D296" t="str">
        <f t="shared" si="4"/>
        <v>24°-Virgo</v>
      </c>
      <c r="E296" s="4" t="s">
        <v>10</v>
      </c>
      <c r="F296" s="4" t="s">
        <v>9</v>
      </c>
      <c r="G296" s="4" t="s">
        <v>11</v>
      </c>
    </row>
    <row r="297" spans="2:7" x14ac:dyDescent="0.25">
      <c r="B297" s="3" t="s">
        <v>54</v>
      </c>
      <c r="C297" s="4" t="s">
        <v>10</v>
      </c>
      <c r="D297" t="str">
        <f t="shared" si="4"/>
        <v>24°-Libra</v>
      </c>
      <c r="E297" s="4" t="s">
        <v>7</v>
      </c>
      <c r="F297" s="4" t="s">
        <v>12</v>
      </c>
      <c r="G297" s="4" t="s">
        <v>13</v>
      </c>
    </row>
    <row r="298" spans="2:7" x14ac:dyDescent="0.25">
      <c r="B298" s="3" t="s">
        <v>54</v>
      </c>
      <c r="C298" s="4" t="s">
        <v>21</v>
      </c>
      <c r="D298" t="str">
        <f t="shared" si="4"/>
        <v>24°-Scorpio</v>
      </c>
      <c r="E298" s="4" t="s">
        <v>10</v>
      </c>
      <c r="F298" s="4" t="s">
        <v>14</v>
      </c>
      <c r="G298" s="4" t="s">
        <v>15</v>
      </c>
    </row>
    <row r="299" spans="2:7" x14ac:dyDescent="0.25">
      <c r="B299" s="3" t="s">
        <v>54</v>
      </c>
      <c r="C299" s="4" t="s">
        <v>23</v>
      </c>
      <c r="D299" t="str">
        <f t="shared" si="4"/>
        <v>24°-Sagittarius</v>
      </c>
      <c r="E299" s="4" t="s">
        <v>7</v>
      </c>
      <c r="F299" s="4" t="s">
        <v>16</v>
      </c>
      <c r="G299" s="4" t="s">
        <v>17</v>
      </c>
    </row>
    <row r="300" spans="2:7" x14ac:dyDescent="0.25">
      <c r="B300" s="3" t="s">
        <v>54</v>
      </c>
      <c r="C300" s="4" t="s">
        <v>25</v>
      </c>
      <c r="D300" t="str">
        <f t="shared" si="4"/>
        <v>24°-Capricorn</v>
      </c>
      <c r="E300" s="4" t="s">
        <v>10</v>
      </c>
      <c r="F300" s="4" t="s">
        <v>18</v>
      </c>
      <c r="G300" s="4" t="s">
        <v>19</v>
      </c>
    </row>
    <row r="301" spans="2:7" x14ac:dyDescent="0.25">
      <c r="B301" s="3" t="s">
        <v>54</v>
      </c>
      <c r="C301" s="4" t="s">
        <v>27</v>
      </c>
      <c r="D301" t="str">
        <f t="shared" si="4"/>
        <v>24°-Aquarius</v>
      </c>
      <c r="E301" s="4" t="s">
        <v>7</v>
      </c>
      <c r="F301" s="4" t="s">
        <v>10</v>
      </c>
      <c r="G301" s="4" t="s">
        <v>20</v>
      </c>
    </row>
    <row r="302" spans="2:7" x14ac:dyDescent="0.25">
      <c r="B302" s="3" t="s">
        <v>54</v>
      </c>
      <c r="C302" s="4" t="s">
        <v>29</v>
      </c>
      <c r="D302" t="str">
        <f t="shared" si="4"/>
        <v>24°-Pisces</v>
      </c>
      <c r="E302" s="4" t="s">
        <v>10</v>
      </c>
      <c r="F302" s="4" t="s">
        <v>21</v>
      </c>
      <c r="G302" s="4" t="s">
        <v>22</v>
      </c>
    </row>
    <row r="303" spans="2:7" x14ac:dyDescent="0.25">
      <c r="B303" s="3" t="s">
        <v>55</v>
      </c>
      <c r="C303" s="4" t="s">
        <v>7</v>
      </c>
      <c r="D303" t="str">
        <f t="shared" si="4"/>
        <v>25°-Aries</v>
      </c>
      <c r="E303" s="4" t="s">
        <v>9</v>
      </c>
      <c r="F303" s="4" t="s">
        <v>23</v>
      </c>
      <c r="G303" s="4" t="s">
        <v>24</v>
      </c>
    </row>
    <row r="304" spans="2:7" x14ac:dyDescent="0.25">
      <c r="B304" s="3" t="s">
        <v>55</v>
      </c>
      <c r="C304" s="4" t="s">
        <v>9</v>
      </c>
      <c r="D304" t="str">
        <f t="shared" si="4"/>
        <v>25°-Taurus</v>
      </c>
      <c r="E304" s="4" t="s">
        <v>21</v>
      </c>
      <c r="F304" s="4" t="s">
        <v>25</v>
      </c>
      <c r="G304" s="4" t="s">
        <v>26</v>
      </c>
    </row>
    <row r="305" spans="2:7" x14ac:dyDescent="0.25">
      <c r="B305" s="3" t="s">
        <v>55</v>
      </c>
      <c r="C305" s="4" t="s">
        <v>12</v>
      </c>
      <c r="D305" t="str">
        <f t="shared" si="4"/>
        <v>25°-Gemini</v>
      </c>
      <c r="E305" s="4" t="s">
        <v>9</v>
      </c>
      <c r="F305" s="4" t="s">
        <v>27</v>
      </c>
      <c r="G305" s="4" t="s">
        <v>28</v>
      </c>
    </row>
    <row r="306" spans="2:7" x14ac:dyDescent="0.25">
      <c r="B306" s="3" t="s">
        <v>55</v>
      </c>
      <c r="C306" s="4" t="s">
        <v>14</v>
      </c>
      <c r="D306" t="str">
        <f t="shared" si="4"/>
        <v>25°-Cancer</v>
      </c>
      <c r="E306" s="4" t="s">
        <v>21</v>
      </c>
      <c r="F306" s="4" t="s">
        <v>29</v>
      </c>
      <c r="G306" s="4" t="s">
        <v>30</v>
      </c>
    </row>
    <row r="307" spans="2:7" x14ac:dyDescent="0.25">
      <c r="B307" s="3" t="s">
        <v>55</v>
      </c>
      <c r="C307" s="4" t="s">
        <v>16</v>
      </c>
      <c r="D307" t="str">
        <f t="shared" si="4"/>
        <v>25°-Leo</v>
      </c>
      <c r="E307" s="4" t="s">
        <v>9</v>
      </c>
      <c r="F307" s="4" t="s">
        <v>7</v>
      </c>
      <c r="G307" s="4" t="s">
        <v>8</v>
      </c>
    </row>
    <row r="308" spans="2:7" x14ac:dyDescent="0.25">
      <c r="B308" s="3" t="s">
        <v>55</v>
      </c>
      <c r="C308" s="4" t="s">
        <v>18</v>
      </c>
      <c r="D308" t="str">
        <f t="shared" si="4"/>
        <v>25°-Virgo</v>
      </c>
      <c r="E308" s="4" t="s">
        <v>21</v>
      </c>
      <c r="F308" s="4" t="s">
        <v>9</v>
      </c>
      <c r="G308" s="4" t="s">
        <v>11</v>
      </c>
    </row>
    <row r="309" spans="2:7" x14ac:dyDescent="0.25">
      <c r="B309" s="3" t="s">
        <v>55</v>
      </c>
      <c r="C309" s="4" t="s">
        <v>10</v>
      </c>
      <c r="D309" t="str">
        <f t="shared" si="4"/>
        <v>25°-Libra</v>
      </c>
      <c r="E309" s="4" t="s">
        <v>9</v>
      </c>
      <c r="F309" s="4" t="s">
        <v>12</v>
      </c>
      <c r="G309" s="4" t="s">
        <v>13</v>
      </c>
    </row>
    <row r="310" spans="2:7" x14ac:dyDescent="0.25">
      <c r="B310" s="3" t="s">
        <v>55</v>
      </c>
      <c r="C310" s="4" t="s">
        <v>21</v>
      </c>
      <c r="D310" t="str">
        <f t="shared" si="4"/>
        <v>25°-Scorpio</v>
      </c>
      <c r="E310" s="4" t="s">
        <v>21</v>
      </c>
      <c r="F310" s="4" t="s">
        <v>14</v>
      </c>
      <c r="G310" s="4" t="s">
        <v>15</v>
      </c>
    </row>
    <row r="311" spans="2:7" x14ac:dyDescent="0.25">
      <c r="B311" s="3" t="s">
        <v>55</v>
      </c>
      <c r="C311" s="4" t="s">
        <v>23</v>
      </c>
      <c r="D311" t="str">
        <f t="shared" si="4"/>
        <v>25°-Sagittarius</v>
      </c>
      <c r="E311" s="4" t="s">
        <v>9</v>
      </c>
      <c r="F311" s="4" t="s">
        <v>16</v>
      </c>
      <c r="G311" s="4" t="s">
        <v>17</v>
      </c>
    </row>
    <row r="312" spans="2:7" x14ac:dyDescent="0.25">
      <c r="B312" s="3" t="s">
        <v>55</v>
      </c>
      <c r="C312" s="4" t="s">
        <v>25</v>
      </c>
      <c r="D312" t="str">
        <f t="shared" si="4"/>
        <v>25°-Capricorn</v>
      </c>
      <c r="E312" s="4" t="s">
        <v>21</v>
      </c>
      <c r="F312" s="4" t="s">
        <v>18</v>
      </c>
      <c r="G312" s="4" t="s">
        <v>19</v>
      </c>
    </row>
    <row r="313" spans="2:7" x14ac:dyDescent="0.25">
      <c r="B313" s="3" t="s">
        <v>55</v>
      </c>
      <c r="C313" s="4" t="s">
        <v>27</v>
      </c>
      <c r="D313" t="str">
        <f t="shared" si="4"/>
        <v>25°-Aquarius</v>
      </c>
      <c r="E313" s="4" t="s">
        <v>9</v>
      </c>
      <c r="F313" s="4" t="s">
        <v>10</v>
      </c>
      <c r="G313" s="4" t="s">
        <v>20</v>
      </c>
    </row>
    <row r="314" spans="2:7" x14ac:dyDescent="0.25">
      <c r="B314" s="3" t="s">
        <v>55</v>
      </c>
      <c r="C314" s="4" t="s">
        <v>29</v>
      </c>
      <c r="D314" t="str">
        <f t="shared" si="4"/>
        <v>25°-Pisces</v>
      </c>
      <c r="E314" s="4" t="s">
        <v>21</v>
      </c>
      <c r="F314" s="4" t="s">
        <v>21</v>
      </c>
      <c r="G314" s="4" t="s">
        <v>22</v>
      </c>
    </row>
    <row r="315" spans="2:7" x14ac:dyDescent="0.25">
      <c r="B315" s="3" t="s">
        <v>56</v>
      </c>
      <c r="C315" s="4" t="s">
        <v>7</v>
      </c>
      <c r="D315" t="str">
        <f t="shared" si="4"/>
        <v>26°-Aries</v>
      </c>
      <c r="E315" s="4" t="s">
        <v>12</v>
      </c>
      <c r="F315" s="4" t="s">
        <v>23</v>
      </c>
      <c r="G315" s="4" t="s">
        <v>24</v>
      </c>
    </row>
    <row r="316" spans="2:7" x14ac:dyDescent="0.25">
      <c r="B316" s="3" t="s">
        <v>56</v>
      </c>
      <c r="C316" s="4" t="s">
        <v>9</v>
      </c>
      <c r="D316" t="str">
        <f t="shared" si="4"/>
        <v>26°-Taurus</v>
      </c>
      <c r="E316" s="4" t="s">
        <v>23</v>
      </c>
      <c r="F316" s="4" t="s">
        <v>25</v>
      </c>
      <c r="G316" s="4" t="s">
        <v>26</v>
      </c>
    </row>
    <row r="317" spans="2:7" x14ac:dyDescent="0.25">
      <c r="B317" s="3" t="s">
        <v>56</v>
      </c>
      <c r="C317" s="4" t="s">
        <v>12</v>
      </c>
      <c r="D317" t="str">
        <f t="shared" si="4"/>
        <v>26°-Gemini</v>
      </c>
      <c r="E317" s="4" t="s">
        <v>12</v>
      </c>
      <c r="F317" s="4" t="s">
        <v>27</v>
      </c>
      <c r="G317" s="4" t="s">
        <v>28</v>
      </c>
    </row>
    <row r="318" spans="2:7" x14ac:dyDescent="0.25">
      <c r="B318" s="3" t="s">
        <v>56</v>
      </c>
      <c r="C318" s="4" t="s">
        <v>14</v>
      </c>
      <c r="D318" t="str">
        <f t="shared" si="4"/>
        <v>26°-Cancer</v>
      </c>
      <c r="E318" s="4" t="s">
        <v>23</v>
      </c>
      <c r="F318" s="4" t="s">
        <v>29</v>
      </c>
      <c r="G318" s="4" t="s">
        <v>30</v>
      </c>
    </row>
    <row r="319" spans="2:7" x14ac:dyDescent="0.25">
      <c r="B319" s="3" t="s">
        <v>56</v>
      </c>
      <c r="C319" s="4" t="s">
        <v>16</v>
      </c>
      <c r="D319" t="str">
        <f t="shared" si="4"/>
        <v>26°-Leo</v>
      </c>
      <c r="E319" s="4" t="s">
        <v>12</v>
      </c>
      <c r="F319" s="4" t="s">
        <v>7</v>
      </c>
      <c r="G319" s="4" t="s">
        <v>8</v>
      </c>
    </row>
    <row r="320" spans="2:7" x14ac:dyDescent="0.25">
      <c r="B320" s="3" t="s">
        <v>56</v>
      </c>
      <c r="C320" s="4" t="s">
        <v>18</v>
      </c>
      <c r="D320" t="str">
        <f t="shared" si="4"/>
        <v>26°-Virgo</v>
      </c>
      <c r="E320" s="4" t="s">
        <v>23</v>
      </c>
      <c r="F320" s="4" t="s">
        <v>9</v>
      </c>
      <c r="G320" s="4" t="s">
        <v>11</v>
      </c>
    </row>
    <row r="321" spans="2:7" x14ac:dyDescent="0.25">
      <c r="B321" s="3" t="s">
        <v>56</v>
      </c>
      <c r="C321" s="4" t="s">
        <v>10</v>
      </c>
      <c r="D321" t="str">
        <f t="shared" si="4"/>
        <v>26°-Libra</v>
      </c>
      <c r="E321" s="4" t="s">
        <v>12</v>
      </c>
      <c r="F321" s="4" t="s">
        <v>12</v>
      </c>
      <c r="G321" s="4" t="s">
        <v>13</v>
      </c>
    </row>
    <row r="322" spans="2:7" x14ac:dyDescent="0.25">
      <c r="B322" s="3" t="s">
        <v>56</v>
      </c>
      <c r="C322" s="4" t="s">
        <v>21</v>
      </c>
      <c r="D322" t="str">
        <f t="shared" si="4"/>
        <v>26°-Scorpio</v>
      </c>
      <c r="E322" s="4" t="s">
        <v>23</v>
      </c>
      <c r="F322" s="4" t="s">
        <v>14</v>
      </c>
      <c r="G322" s="4" t="s">
        <v>15</v>
      </c>
    </row>
    <row r="323" spans="2:7" x14ac:dyDescent="0.25">
      <c r="B323" s="3" t="s">
        <v>56</v>
      </c>
      <c r="C323" s="4" t="s">
        <v>23</v>
      </c>
      <c r="D323" t="str">
        <f t="shared" si="4"/>
        <v>26°-Sagittarius</v>
      </c>
      <c r="E323" s="4" t="s">
        <v>12</v>
      </c>
      <c r="F323" s="4" t="s">
        <v>16</v>
      </c>
      <c r="G323" s="4" t="s">
        <v>17</v>
      </c>
    </row>
    <row r="324" spans="2:7" x14ac:dyDescent="0.25">
      <c r="B324" s="3" t="s">
        <v>56</v>
      </c>
      <c r="C324" s="4" t="s">
        <v>25</v>
      </c>
      <c r="D324" t="str">
        <f t="shared" ref="D324:D362" si="5">B324&amp;"-"&amp;C324</f>
        <v>26°-Capricorn</v>
      </c>
      <c r="E324" s="4" t="s">
        <v>23</v>
      </c>
      <c r="F324" s="4" t="s">
        <v>18</v>
      </c>
      <c r="G324" s="4" t="s">
        <v>19</v>
      </c>
    </row>
    <row r="325" spans="2:7" x14ac:dyDescent="0.25">
      <c r="B325" s="3" t="s">
        <v>56</v>
      </c>
      <c r="C325" s="4" t="s">
        <v>27</v>
      </c>
      <c r="D325" t="str">
        <f t="shared" si="5"/>
        <v>26°-Aquarius</v>
      </c>
      <c r="E325" s="4" t="s">
        <v>12</v>
      </c>
      <c r="F325" s="4" t="s">
        <v>10</v>
      </c>
      <c r="G325" s="4" t="s">
        <v>20</v>
      </c>
    </row>
    <row r="326" spans="2:7" x14ac:dyDescent="0.25">
      <c r="B326" s="3" t="s">
        <v>56</v>
      </c>
      <c r="C326" s="4" t="s">
        <v>29</v>
      </c>
      <c r="D326" t="str">
        <f t="shared" si="5"/>
        <v>26°-Pisces</v>
      </c>
      <c r="E326" s="4" t="s">
        <v>23</v>
      </c>
      <c r="F326" s="4" t="s">
        <v>21</v>
      </c>
      <c r="G326" s="4" t="s">
        <v>22</v>
      </c>
    </row>
    <row r="327" spans="2:7" x14ac:dyDescent="0.25">
      <c r="B327" s="3" t="s">
        <v>57</v>
      </c>
      <c r="C327" s="4" t="s">
        <v>7</v>
      </c>
      <c r="D327" t="str">
        <f t="shared" si="5"/>
        <v>27°-Aries</v>
      </c>
      <c r="E327" s="4" t="s">
        <v>14</v>
      </c>
      <c r="F327" s="4" t="s">
        <v>23</v>
      </c>
      <c r="G327" s="4" t="s">
        <v>24</v>
      </c>
    </row>
    <row r="328" spans="2:7" x14ac:dyDescent="0.25">
      <c r="B328" s="3" t="s">
        <v>57</v>
      </c>
      <c r="C328" s="4" t="s">
        <v>9</v>
      </c>
      <c r="D328" t="str">
        <f t="shared" si="5"/>
        <v>27°-Taurus</v>
      </c>
      <c r="E328" s="4" t="s">
        <v>25</v>
      </c>
      <c r="F328" s="4" t="s">
        <v>25</v>
      </c>
      <c r="G328" s="4" t="s">
        <v>26</v>
      </c>
    </row>
    <row r="329" spans="2:7" x14ac:dyDescent="0.25">
      <c r="B329" s="3" t="s">
        <v>57</v>
      </c>
      <c r="C329" s="4" t="s">
        <v>12</v>
      </c>
      <c r="D329" t="str">
        <f t="shared" si="5"/>
        <v>27°-Gemini</v>
      </c>
      <c r="E329" s="4" t="s">
        <v>14</v>
      </c>
      <c r="F329" s="4" t="s">
        <v>27</v>
      </c>
      <c r="G329" s="4" t="s">
        <v>28</v>
      </c>
    </row>
    <row r="330" spans="2:7" x14ac:dyDescent="0.25">
      <c r="B330" s="3" t="s">
        <v>57</v>
      </c>
      <c r="C330" s="4" t="s">
        <v>14</v>
      </c>
      <c r="D330" t="str">
        <f t="shared" si="5"/>
        <v>27°-Cancer</v>
      </c>
      <c r="E330" s="4" t="s">
        <v>25</v>
      </c>
      <c r="F330" s="4" t="s">
        <v>29</v>
      </c>
      <c r="G330" s="4" t="s">
        <v>30</v>
      </c>
    </row>
    <row r="331" spans="2:7" x14ac:dyDescent="0.25">
      <c r="B331" s="3" t="s">
        <v>57</v>
      </c>
      <c r="C331" s="4" t="s">
        <v>16</v>
      </c>
      <c r="D331" t="str">
        <f t="shared" si="5"/>
        <v>27°-Leo</v>
      </c>
      <c r="E331" s="4" t="s">
        <v>14</v>
      </c>
      <c r="F331" s="4" t="s">
        <v>7</v>
      </c>
      <c r="G331" s="4" t="s">
        <v>8</v>
      </c>
    </row>
    <row r="332" spans="2:7" x14ac:dyDescent="0.25">
      <c r="B332" s="3" t="s">
        <v>57</v>
      </c>
      <c r="C332" s="4" t="s">
        <v>18</v>
      </c>
      <c r="D332" t="str">
        <f t="shared" si="5"/>
        <v>27°-Virgo</v>
      </c>
      <c r="E332" s="4" t="s">
        <v>25</v>
      </c>
      <c r="F332" s="4" t="s">
        <v>9</v>
      </c>
      <c r="G332" s="4" t="s">
        <v>11</v>
      </c>
    </row>
    <row r="333" spans="2:7" x14ac:dyDescent="0.25">
      <c r="B333" s="3" t="s">
        <v>57</v>
      </c>
      <c r="C333" s="4" t="s">
        <v>10</v>
      </c>
      <c r="D333" t="str">
        <f t="shared" si="5"/>
        <v>27°-Libra</v>
      </c>
      <c r="E333" s="4" t="s">
        <v>14</v>
      </c>
      <c r="F333" s="4" t="s">
        <v>12</v>
      </c>
      <c r="G333" s="4" t="s">
        <v>13</v>
      </c>
    </row>
    <row r="334" spans="2:7" x14ac:dyDescent="0.25">
      <c r="B334" s="3" t="s">
        <v>57</v>
      </c>
      <c r="C334" s="4" t="s">
        <v>21</v>
      </c>
      <c r="D334" t="str">
        <f t="shared" si="5"/>
        <v>27°-Scorpio</v>
      </c>
      <c r="E334" s="4" t="s">
        <v>25</v>
      </c>
      <c r="F334" s="4" t="s">
        <v>14</v>
      </c>
      <c r="G334" s="4" t="s">
        <v>15</v>
      </c>
    </row>
    <row r="335" spans="2:7" x14ac:dyDescent="0.25">
      <c r="B335" s="3" t="s">
        <v>57</v>
      </c>
      <c r="C335" s="4" t="s">
        <v>23</v>
      </c>
      <c r="D335" t="str">
        <f t="shared" si="5"/>
        <v>27°-Sagittarius</v>
      </c>
      <c r="E335" s="4" t="s">
        <v>14</v>
      </c>
      <c r="F335" s="4" t="s">
        <v>16</v>
      </c>
      <c r="G335" s="4" t="s">
        <v>17</v>
      </c>
    </row>
    <row r="336" spans="2:7" x14ac:dyDescent="0.25">
      <c r="B336" s="3" t="s">
        <v>57</v>
      </c>
      <c r="C336" s="4" t="s">
        <v>25</v>
      </c>
      <c r="D336" t="str">
        <f t="shared" si="5"/>
        <v>27°-Capricorn</v>
      </c>
      <c r="E336" s="4" t="s">
        <v>25</v>
      </c>
      <c r="F336" s="4" t="s">
        <v>18</v>
      </c>
      <c r="G336" s="4" t="s">
        <v>19</v>
      </c>
    </row>
    <row r="337" spans="2:7" x14ac:dyDescent="0.25">
      <c r="B337" s="3" t="s">
        <v>57</v>
      </c>
      <c r="C337" s="4" t="s">
        <v>27</v>
      </c>
      <c r="D337" t="str">
        <f t="shared" si="5"/>
        <v>27°-Aquarius</v>
      </c>
      <c r="E337" s="4" t="s">
        <v>14</v>
      </c>
      <c r="F337" s="4" t="s">
        <v>10</v>
      </c>
      <c r="G337" s="4" t="s">
        <v>20</v>
      </c>
    </row>
    <row r="338" spans="2:7" x14ac:dyDescent="0.25">
      <c r="B338" s="3" t="s">
        <v>57</v>
      </c>
      <c r="C338" s="4" t="s">
        <v>29</v>
      </c>
      <c r="D338" t="str">
        <f t="shared" si="5"/>
        <v>27°-Pisces</v>
      </c>
      <c r="E338" s="4" t="s">
        <v>25</v>
      </c>
      <c r="F338" s="4" t="s">
        <v>21</v>
      </c>
      <c r="G338" s="4" t="s">
        <v>22</v>
      </c>
    </row>
    <row r="339" spans="2:7" x14ac:dyDescent="0.25">
      <c r="B339" s="3" t="s">
        <v>58</v>
      </c>
      <c r="C339" s="4" t="s">
        <v>7</v>
      </c>
      <c r="D339" t="str">
        <f t="shared" si="5"/>
        <v>28°-Aries</v>
      </c>
      <c r="E339" s="4" t="s">
        <v>16</v>
      </c>
      <c r="F339" s="4" t="s">
        <v>23</v>
      </c>
      <c r="G339" s="4" t="s">
        <v>24</v>
      </c>
    </row>
    <row r="340" spans="2:7" x14ac:dyDescent="0.25">
      <c r="B340" s="3" t="s">
        <v>58</v>
      </c>
      <c r="C340" s="4" t="s">
        <v>9</v>
      </c>
      <c r="D340" t="str">
        <f t="shared" si="5"/>
        <v>28°-Taurus</v>
      </c>
      <c r="E340" s="4" t="s">
        <v>27</v>
      </c>
      <c r="F340" s="4" t="s">
        <v>25</v>
      </c>
      <c r="G340" s="4" t="s">
        <v>26</v>
      </c>
    </row>
    <row r="341" spans="2:7" x14ac:dyDescent="0.25">
      <c r="B341" s="3" t="s">
        <v>58</v>
      </c>
      <c r="C341" s="4" t="s">
        <v>12</v>
      </c>
      <c r="D341" t="str">
        <f t="shared" si="5"/>
        <v>28°-Gemini</v>
      </c>
      <c r="E341" s="4" t="s">
        <v>16</v>
      </c>
      <c r="F341" s="4" t="s">
        <v>27</v>
      </c>
      <c r="G341" s="4" t="s">
        <v>28</v>
      </c>
    </row>
    <row r="342" spans="2:7" x14ac:dyDescent="0.25">
      <c r="B342" s="3" t="s">
        <v>58</v>
      </c>
      <c r="C342" s="4" t="s">
        <v>14</v>
      </c>
      <c r="D342" t="str">
        <f t="shared" si="5"/>
        <v>28°-Cancer</v>
      </c>
      <c r="E342" s="4" t="s">
        <v>27</v>
      </c>
      <c r="F342" s="4" t="s">
        <v>29</v>
      </c>
      <c r="G342" s="4" t="s">
        <v>30</v>
      </c>
    </row>
    <row r="343" spans="2:7" x14ac:dyDescent="0.25">
      <c r="B343" s="3" t="s">
        <v>58</v>
      </c>
      <c r="C343" s="4" t="s">
        <v>16</v>
      </c>
      <c r="D343" t="str">
        <f t="shared" si="5"/>
        <v>28°-Leo</v>
      </c>
      <c r="E343" s="4" t="s">
        <v>16</v>
      </c>
      <c r="F343" s="4" t="s">
        <v>7</v>
      </c>
      <c r="G343" s="4" t="s">
        <v>8</v>
      </c>
    </row>
    <row r="344" spans="2:7" x14ac:dyDescent="0.25">
      <c r="B344" s="3" t="s">
        <v>58</v>
      </c>
      <c r="C344" s="4" t="s">
        <v>18</v>
      </c>
      <c r="D344" t="str">
        <f t="shared" si="5"/>
        <v>28°-Virgo</v>
      </c>
      <c r="E344" s="4" t="s">
        <v>27</v>
      </c>
      <c r="F344" s="4" t="s">
        <v>9</v>
      </c>
      <c r="G344" s="4" t="s">
        <v>11</v>
      </c>
    </row>
    <row r="345" spans="2:7" x14ac:dyDescent="0.25">
      <c r="B345" s="3" t="s">
        <v>58</v>
      </c>
      <c r="C345" s="4" t="s">
        <v>10</v>
      </c>
      <c r="D345" t="str">
        <f t="shared" si="5"/>
        <v>28°-Libra</v>
      </c>
      <c r="E345" s="4" t="s">
        <v>16</v>
      </c>
      <c r="F345" s="4" t="s">
        <v>12</v>
      </c>
      <c r="G345" s="4" t="s">
        <v>13</v>
      </c>
    </row>
    <row r="346" spans="2:7" x14ac:dyDescent="0.25">
      <c r="B346" s="3" t="s">
        <v>58</v>
      </c>
      <c r="C346" s="4" t="s">
        <v>21</v>
      </c>
      <c r="D346" t="str">
        <f t="shared" si="5"/>
        <v>28°-Scorpio</v>
      </c>
      <c r="E346" s="4" t="s">
        <v>27</v>
      </c>
      <c r="F346" s="4" t="s">
        <v>14</v>
      </c>
      <c r="G346" s="4" t="s">
        <v>15</v>
      </c>
    </row>
    <row r="347" spans="2:7" x14ac:dyDescent="0.25">
      <c r="B347" s="3" t="s">
        <v>58</v>
      </c>
      <c r="C347" s="4" t="s">
        <v>23</v>
      </c>
      <c r="D347" t="str">
        <f t="shared" si="5"/>
        <v>28°-Sagittarius</v>
      </c>
      <c r="E347" s="4" t="s">
        <v>16</v>
      </c>
      <c r="F347" s="4" t="s">
        <v>16</v>
      </c>
      <c r="G347" s="4" t="s">
        <v>17</v>
      </c>
    </row>
    <row r="348" spans="2:7" x14ac:dyDescent="0.25">
      <c r="B348" s="3" t="s">
        <v>58</v>
      </c>
      <c r="C348" s="4" t="s">
        <v>25</v>
      </c>
      <c r="D348" t="str">
        <f t="shared" si="5"/>
        <v>28°-Capricorn</v>
      </c>
      <c r="E348" s="4" t="s">
        <v>27</v>
      </c>
      <c r="F348" s="4" t="s">
        <v>18</v>
      </c>
      <c r="G348" s="4" t="s">
        <v>19</v>
      </c>
    </row>
    <row r="349" spans="2:7" x14ac:dyDescent="0.25">
      <c r="B349" s="3" t="s">
        <v>58</v>
      </c>
      <c r="C349" s="4" t="s">
        <v>27</v>
      </c>
      <c r="D349" t="str">
        <f t="shared" si="5"/>
        <v>28°-Aquarius</v>
      </c>
      <c r="E349" s="4" t="s">
        <v>16</v>
      </c>
      <c r="F349" s="4" t="s">
        <v>10</v>
      </c>
      <c r="G349" s="4" t="s">
        <v>20</v>
      </c>
    </row>
    <row r="350" spans="2:7" x14ac:dyDescent="0.25">
      <c r="B350" s="3" t="s">
        <v>58</v>
      </c>
      <c r="C350" s="4" t="s">
        <v>29</v>
      </c>
      <c r="D350" t="str">
        <f t="shared" si="5"/>
        <v>28°-Pisces</v>
      </c>
      <c r="E350" s="4" t="s">
        <v>27</v>
      </c>
      <c r="F350" s="4" t="s">
        <v>21</v>
      </c>
      <c r="G350" s="4" t="s">
        <v>22</v>
      </c>
    </row>
    <row r="351" spans="2:7" x14ac:dyDescent="0.25">
      <c r="B351" s="3" t="s">
        <v>59</v>
      </c>
      <c r="C351" s="4" t="s">
        <v>7</v>
      </c>
      <c r="D351" t="str">
        <f t="shared" si="5"/>
        <v>29°-Aries</v>
      </c>
      <c r="E351" s="4" t="s">
        <v>18</v>
      </c>
      <c r="F351" s="4" t="s">
        <v>23</v>
      </c>
      <c r="G351" s="4" t="s">
        <v>24</v>
      </c>
    </row>
    <row r="352" spans="2:7" x14ac:dyDescent="0.25">
      <c r="B352" s="3" t="s">
        <v>59</v>
      </c>
      <c r="C352" s="4" t="s">
        <v>9</v>
      </c>
      <c r="D352" t="str">
        <f t="shared" si="5"/>
        <v>29°-Taurus</v>
      </c>
      <c r="E352" s="4" t="s">
        <v>29</v>
      </c>
      <c r="F352" s="4" t="s">
        <v>25</v>
      </c>
      <c r="G352" s="4" t="s">
        <v>26</v>
      </c>
    </row>
    <row r="353" spans="2:7" x14ac:dyDescent="0.25">
      <c r="B353" s="3" t="s">
        <v>59</v>
      </c>
      <c r="C353" s="4" t="s">
        <v>12</v>
      </c>
      <c r="D353" t="str">
        <f t="shared" si="5"/>
        <v>29°-Gemini</v>
      </c>
      <c r="E353" s="4" t="s">
        <v>18</v>
      </c>
      <c r="F353" s="4" t="s">
        <v>27</v>
      </c>
      <c r="G353" s="4" t="s">
        <v>28</v>
      </c>
    </row>
    <row r="354" spans="2:7" x14ac:dyDescent="0.25">
      <c r="B354" s="3" t="s">
        <v>59</v>
      </c>
      <c r="C354" s="4" t="s">
        <v>14</v>
      </c>
      <c r="D354" t="str">
        <f t="shared" si="5"/>
        <v>29°-Cancer</v>
      </c>
      <c r="E354" s="4" t="s">
        <v>29</v>
      </c>
      <c r="F354" s="4" t="s">
        <v>29</v>
      </c>
      <c r="G354" s="4" t="s">
        <v>30</v>
      </c>
    </row>
    <row r="355" spans="2:7" x14ac:dyDescent="0.25">
      <c r="B355" s="3" t="s">
        <v>59</v>
      </c>
      <c r="C355" s="4" t="s">
        <v>16</v>
      </c>
      <c r="D355" t="str">
        <f t="shared" si="5"/>
        <v>29°-Leo</v>
      </c>
      <c r="E355" s="4" t="s">
        <v>18</v>
      </c>
      <c r="F355" s="4" t="s">
        <v>7</v>
      </c>
      <c r="G355" s="4" t="s">
        <v>8</v>
      </c>
    </row>
    <row r="356" spans="2:7" x14ac:dyDescent="0.25">
      <c r="B356" s="3" t="s">
        <v>59</v>
      </c>
      <c r="C356" s="4" t="s">
        <v>18</v>
      </c>
      <c r="D356" t="str">
        <f t="shared" si="5"/>
        <v>29°-Virgo</v>
      </c>
      <c r="E356" s="4" t="s">
        <v>29</v>
      </c>
      <c r="F356" s="4" t="s">
        <v>9</v>
      </c>
      <c r="G356" s="4" t="s">
        <v>11</v>
      </c>
    </row>
    <row r="357" spans="2:7" x14ac:dyDescent="0.25">
      <c r="B357" s="3" t="s">
        <v>59</v>
      </c>
      <c r="C357" s="4" t="s">
        <v>10</v>
      </c>
      <c r="D357" t="str">
        <f t="shared" si="5"/>
        <v>29°-Libra</v>
      </c>
      <c r="E357" s="4" t="s">
        <v>18</v>
      </c>
      <c r="F357" s="4" t="s">
        <v>12</v>
      </c>
      <c r="G357" s="4" t="s">
        <v>13</v>
      </c>
    </row>
    <row r="358" spans="2:7" x14ac:dyDescent="0.25">
      <c r="B358" s="3" t="s">
        <v>59</v>
      </c>
      <c r="C358" s="4" t="s">
        <v>21</v>
      </c>
      <c r="D358" t="str">
        <f t="shared" si="5"/>
        <v>29°-Scorpio</v>
      </c>
      <c r="E358" s="4" t="s">
        <v>29</v>
      </c>
      <c r="F358" s="4" t="s">
        <v>14</v>
      </c>
      <c r="G358" s="4" t="s">
        <v>15</v>
      </c>
    </row>
    <row r="359" spans="2:7" x14ac:dyDescent="0.25">
      <c r="B359" s="3" t="s">
        <v>59</v>
      </c>
      <c r="C359" s="4" t="s">
        <v>23</v>
      </c>
      <c r="D359" t="str">
        <f t="shared" si="5"/>
        <v>29°-Sagittarius</v>
      </c>
      <c r="E359" s="4" t="s">
        <v>18</v>
      </c>
      <c r="F359" s="4" t="s">
        <v>16</v>
      </c>
      <c r="G359" s="4" t="s">
        <v>17</v>
      </c>
    </row>
    <row r="360" spans="2:7" x14ac:dyDescent="0.25">
      <c r="B360" s="3" t="s">
        <v>59</v>
      </c>
      <c r="C360" s="4" t="s">
        <v>25</v>
      </c>
      <c r="D360" t="str">
        <f t="shared" si="5"/>
        <v>29°-Capricorn</v>
      </c>
      <c r="E360" s="4" t="s">
        <v>29</v>
      </c>
      <c r="F360" s="4" t="s">
        <v>18</v>
      </c>
      <c r="G360" s="4" t="s">
        <v>19</v>
      </c>
    </row>
    <row r="361" spans="2:7" x14ac:dyDescent="0.25">
      <c r="B361" s="3" t="s">
        <v>59</v>
      </c>
      <c r="C361" s="4" t="s">
        <v>27</v>
      </c>
      <c r="D361" t="str">
        <f t="shared" si="5"/>
        <v>29°-Aquarius</v>
      </c>
      <c r="E361" s="4" t="s">
        <v>18</v>
      </c>
      <c r="F361" s="4" t="s">
        <v>10</v>
      </c>
      <c r="G361" s="4" t="s">
        <v>20</v>
      </c>
    </row>
    <row r="362" spans="2:7" x14ac:dyDescent="0.25">
      <c r="B362" s="3" t="s">
        <v>59</v>
      </c>
      <c r="C362" s="4" t="s">
        <v>29</v>
      </c>
      <c r="D362" t="str">
        <f t="shared" si="5"/>
        <v>29°-Pisces</v>
      </c>
      <c r="E362" s="4" t="s">
        <v>29</v>
      </c>
      <c r="F362" s="4" t="s">
        <v>21</v>
      </c>
      <c r="G362" s="4" t="s">
        <v>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A34C-33DB-4ACF-B4C3-19DDCD298940}">
  <dimension ref="A1:U1443"/>
  <sheetViews>
    <sheetView workbookViewId="0">
      <selection activeCell="C1447" sqref="C1447"/>
    </sheetView>
  </sheetViews>
  <sheetFormatPr defaultRowHeight="15" x14ac:dyDescent="0.25"/>
  <cols>
    <col min="8" max="8" width="10.7109375" customWidth="1"/>
    <col min="9" max="9" width="9.28515625" customWidth="1"/>
    <col min="10" max="10" width="8.7109375" customWidth="1"/>
  </cols>
  <sheetData>
    <row r="1" spans="1:21" ht="24" x14ac:dyDescent="0.25">
      <c r="E1" s="385" t="s">
        <v>89</v>
      </c>
      <c r="F1" s="385"/>
      <c r="G1" s="11" t="s">
        <v>90</v>
      </c>
      <c r="H1" s="386" t="s">
        <v>91</v>
      </c>
      <c r="I1" s="385"/>
      <c r="J1" s="385"/>
    </row>
    <row r="3" spans="1:21" x14ac:dyDescent="0.25">
      <c r="A3" s="12" t="s">
        <v>92</v>
      </c>
      <c r="B3" s="12" t="s">
        <v>1</v>
      </c>
      <c r="C3" s="13" t="s">
        <v>93</v>
      </c>
      <c r="D3" s="13" t="s">
        <v>2</v>
      </c>
      <c r="E3" s="14" t="s">
        <v>94</v>
      </c>
      <c r="F3" s="14" t="s">
        <v>95</v>
      </c>
      <c r="G3" s="14" t="s">
        <v>122</v>
      </c>
      <c r="H3" s="15" t="s">
        <v>96</v>
      </c>
      <c r="I3" s="14" t="s">
        <v>97</v>
      </c>
      <c r="J3" s="14" t="s">
        <v>123</v>
      </c>
      <c r="K3" s="14" t="s">
        <v>707</v>
      </c>
      <c r="L3" s="14" t="s">
        <v>130</v>
      </c>
      <c r="M3" s="14" t="s">
        <v>708</v>
      </c>
    </row>
    <row r="4" spans="1:21" x14ac:dyDescent="0.25">
      <c r="A4" t="s">
        <v>15</v>
      </c>
      <c r="B4" s="16" t="s">
        <v>7</v>
      </c>
      <c r="C4" t="s">
        <v>7</v>
      </c>
      <c r="D4" t="str">
        <f t="shared" ref="D4:D67" si="0">A4&amp;"-"&amp;B4&amp;"-"&amp;C4</f>
        <v>MOON-Aries-Aries</v>
      </c>
      <c r="E4" s="17" t="s">
        <v>98</v>
      </c>
      <c r="F4" s="18" t="s">
        <v>7</v>
      </c>
      <c r="G4" s="19" t="s">
        <v>7</v>
      </c>
      <c r="H4" s="20" t="s">
        <v>99</v>
      </c>
      <c r="I4" s="18" t="s">
        <v>14</v>
      </c>
      <c r="J4" s="21" t="s">
        <v>14</v>
      </c>
      <c r="K4" s="21"/>
      <c r="L4" s="21"/>
      <c r="M4" s="21"/>
    </row>
    <row r="5" spans="1:21" x14ac:dyDescent="0.25">
      <c r="A5" t="s">
        <v>15</v>
      </c>
      <c r="B5" s="16" t="s">
        <v>7</v>
      </c>
      <c r="C5" t="s">
        <v>9</v>
      </c>
      <c r="D5" t="str">
        <f t="shared" si="0"/>
        <v>MOON-Aries-Taurus</v>
      </c>
      <c r="E5" s="17" t="s">
        <v>100</v>
      </c>
      <c r="F5" s="18" t="s">
        <v>29</v>
      </c>
      <c r="G5" s="19" t="s">
        <v>7</v>
      </c>
      <c r="H5" s="20" t="s">
        <v>101</v>
      </c>
      <c r="I5" s="18" t="s">
        <v>12</v>
      </c>
      <c r="J5" s="21" t="s">
        <v>14</v>
      </c>
      <c r="K5" s="21"/>
      <c r="L5" s="21"/>
      <c r="M5" s="21"/>
      <c r="R5" s="10"/>
      <c r="S5" s="10"/>
      <c r="T5" s="10"/>
      <c r="U5" s="10"/>
    </row>
    <row r="6" spans="1:21" x14ac:dyDescent="0.25">
      <c r="A6" t="s">
        <v>15</v>
      </c>
      <c r="B6" s="16" t="s">
        <v>7</v>
      </c>
      <c r="C6" t="s">
        <v>12</v>
      </c>
      <c r="D6" t="str">
        <f t="shared" si="0"/>
        <v>MOON-Aries-Gemini</v>
      </c>
      <c r="E6" s="17" t="s">
        <v>102</v>
      </c>
      <c r="F6" s="18" t="s">
        <v>27</v>
      </c>
      <c r="G6" s="19" t="s">
        <v>7</v>
      </c>
      <c r="H6" s="20" t="s">
        <v>103</v>
      </c>
      <c r="I6" s="18" t="s">
        <v>9</v>
      </c>
      <c r="J6" s="21" t="s">
        <v>14</v>
      </c>
      <c r="K6" s="21"/>
      <c r="L6" s="21"/>
      <c r="M6" s="21"/>
    </row>
    <row r="7" spans="1:21" x14ac:dyDescent="0.25">
      <c r="A7" t="s">
        <v>15</v>
      </c>
      <c r="B7" s="16" t="s">
        <v>7</v>
      </c>
      <c r="C7" t="s">
        <v>14</v>
      </c>
      <c r="D7" t="str">
        <f t="shared" si="0"/>
        <v>MOON-Aries-Cancer</v>
      </c>
      <c r="E7" s="17" t="s">
        <v>104</v>
      </c>
      <c r="F7" s="18" t="s">
        <v>25</v>
      </c>
      <c r="G7" s="19" t="s">
        <v>7</v>
      </c>
      <c r="H7" s="20" t="s">
        <v>98</v>
      </c>
      <c r="I7" s="18" t="s">
        <v>7</v>
      </c>
      <c r="J7" s="21" t="s">
        <v>14</v>
      </c>
      <c r="K7" s="21"/>
      <c r="L7" s="21"/>
      <c r="M7" s="21"/>
    </row>
    <row r="8" spans="1:21" x14ac:dyDescent="0.25">
      <c r="A8" t="s">
        <v>15</v>
      </c>
      <c r="B8" s="16" t="s">
        <v>7</v>
      </c>
      <c r="C8" t="s">
        <v>16</v>
      </c>
      <c r="D8" t="str">
        <f t="shared" si="0"/>
        <v>MOON-Aries-Leo</v>
      </c>
      <c r="E8" s="17" t="s">
        <v>105</v>
      </c>
      <c r="F8" s="18" t="s">
        <v>23</v>
      </c>
      <c r="G8" s="19" t="s">
        <v>7</v>
      </c>
      <c r="H8" s="20" t="s">
        <v>100</v>
      </c>
      <c r="I8" s="18" t="s">
        <v>29</v>
      </c>
      <c r="J8" s="21" t="s">
        <v>14</v>
      </c>
      <c r="K8" s="21"/>
      <c r="L8" s="21"/>
      <c r="M8" s="21"/>
    </row>
    <row r="9" spans="1:21" x14ac:dyDescent="0.25">
      <c r="A9" t="s">
        <v>15</v>
      </c>
      <c r="B9" s="16" t="s">
        <v>7</v>
      </c>
      <c r="C9" t="s">
        <v>18</v>
      </c>
      <c r="D9" t="str">
        <f t="shared" si="0"/>
        <v>MOON-Aries-Virgo</v>
      </c>
      <c r="E9" s="17" t="s">
        <v>106</v>
      </c>
      <c r="F9" s="18" t="s">
        <v>21</v>
      </c>
      <c r="G9" s="19" t="s">
        <v>7</v>
      </c>
      <c r="H9" s="20" t="s">
        <v>102</v>
      </c>
      <c r="I9" s="18" t="s">
        <v>27</v>
      </c>
      <c r="J9" s="21" t="s">
        <v>14</v>
      </c>
      <c r="K9" s="21"/>
      <c r="L9" s="21"/>
      <c r="M9" s="21"/>
    </row>
    <row r="10" spans="1:21" x14ac:dyDescent="0.25">
      <c r="A10" t="s">
        <v>15</v>
      </c>
      <c r="B10" s="16" t="s">
        <v>7</v>
      </c>
      <c r="C10" t="s">
        <v>10</v>
      </c>
      <c r="D10" t="str">
        <f t="shared" si="0"/>
        <v>MOON-Aries-Libra</v>
      </c>
      <c r="E10" s="17" t="s">
        <v>107</v>
      </c>
      <c r="F10" s="18" t="s">
        <v>10</v>
      </c>
      <c r="G10" s="19" t="s">
        <v>7</v>
      </c>
      <c r="H10" s="20" t="s">
        <v>104</v>
      </c>
      <c r="I10" s="18" t="s">
        <v>25</v>
      </c>
      <c r="J10" s="21" t="s">
        <v>14</v>
      </c>
      <c r="K10" s="21"/>
      <c r="L10" s="21"/>
      <c r="M10" s="21"/>
    </row>
    <row r="11" spans="1:21" x14ac:dyDescent="0.25">
      <c r="A11" t="s">
        <v>15</v>
      </c>
      <c r="B11" s="16" t="s">
        <v>7</v>
      </c>
      <c r="C11" t="s">
        <v>21</v>
      </c>
      <c r="D11" t="str">
        <f t="shared" si="0"/>
        <v>MOON-Aries-Scorpio</v>
      </c>
      <c r="E11" s="17" t="s">
        <v>108</v>
      </c>
      <c r="F11" s="18" t="s">
        <v>18</v>
      </c>
      <c r="G11" s="19" t="s">
        <v>7</v>
      </c>
      <c r="H11" s="20" t="s">
        <v>105</v>
      </c>
      <c r="I11" s="18" t="s">
        <v>23</v>
      </c>
      <c r="J11" s="21" t="s">
        <v>14</v>
      </c>
      <c r="K11" s="21"/>
      <c r="L11" s="21"/>
      <c r="M11" s="21"/>
    </row>
    <row r="12" spans="1:21" x14ac:dyDescent="0.25">
      <c r="A12" t="s">
        <v>15</v>
      </c>
      <c r="B12" s="16" t="s">
        <v>7</v>
      </c>
      <c r="C12" t="s">
        <v>23</v>
      </c>
      <c r="D12" t="str">
        <f t="shared" si="0"/>
        <v>MOON-Aries-Sagittarius</v>
      </c>
      <c r="E12" s="17" t="s">
        <v>109</v>
      </c>
      <c r="F12" s="18" t="s">
        <v>16</v>
      </c>
      <c r="G12" s="19" t="s">
        <v>7</v>
      </c>
      <c r="H12" s="20" t="s">
        <v>106</v>
      </c>
      <c r="I12" s="18" t="s">
        <v>21</v>
      </c>
      <c r="J12" s="21" t="s">
        <v>14</v>
      </c>
      <c r="K12" s="21"/>
      <c r="L12" s="21"/>
      <c r="M12" s="21"/>
    </row>
    <row r="13" spans="1:21" x14ac:dyDescent="0.25">
      <c r="A13" t="s">
        <v>15</v>
      </c>
      <c r="B13" s="16" t="s">
        <v>7</v>
      </c>
      <c r="C13" t="s">
        <v>25</v>
      </c>
      <c r="D13" t="str">
        <f t="shared" si="0"/>
        <v>MOON-Aries-Capricorn</v>
      </c>
      <c r="E13" s="17" t="s">
        <v>99</v>
      </c>
      <c r="F13" s="18" t="s">
        <v>14</v>
      </c>
      <c r="G13" s="19" t="s">
        <v>7</v>
      </c>
      <c r="H13" s="20" t="s">
        <v>107</v>
      </c>
      <c r="I13" s="18" t="s">
        <v>10</v>
      </c>
      <c r="J13" s="21" t="s">
        <v>14</v>
      </c>
      <c r="K13" s="21"/>
      <c r="L13" s="21"/>
      <c r="M13" s="21"/>
    </row>
    <row r="14" spans="1:21" x14ac:dyDescent="0.25">
      <c r="A14" t="s">
        <v>15</v>
      </c>
      <c r="B14" s="16" t="s">
        <v>7</v>
      </c>
      <c r="C14" t="s">
        <v>27</v>
      </c>
      <c r="D14" t="str">
        <f t="shared" si="0"/>
        <v>MOON-Aries-Aquarius</v>
      </c>
      <c r="E14" s="17" t="s">
        <v>101</v>
      </c>
      <c r="F14" s="18" t="s">
        <v>12</v>
      </c>
      <c r="G14" s="19" t="s">
        <v>7</v>
      </c>
      <c r="H14" s="20" t="s">
        <v>108</v>
      </c>
      <c r="I14" s="18" t="s">
        <v>18</v>
      </c>
      <c r="J14" s="21" t="s">
        <v>14</v>
      </c>
      <c r="K14" s="21"/>
      <c r="L14" s="21"/>
      <c r="M14" s="21"/>
    </row>
    <row r="15" spans="1:21" x14ac:dyDescent="0.25">
      <c r="A15" t="s">
        <v>15</v>
      </c>
      <c r="B15" s="16" t="s">
        <v>7</v>
      </c>
      <c r="C15" t="s">
        <v>29</v>
      </c>
      <c r="D15" t="str">
        <f t="shared" si="0"/>
        <v>MOON-Aries-Pisces</v>
      </c>
      <c r="E15" s="17" t="s">
        <v>103</v>
      </c>
      <c r="F15" s="18" t="s">
        <v>9</v>
      </c>
      <c r="G15" s="19" t="s">
        <v>7</v>
      </c>
      <c r="H15" s="20" t="s">
        <v>109</v>
      </c>
      <c r="I15" s="18" t="s">
        <v>16</v>
      </c>
      <c r="J15" s="21" t="s">
        <v>14</v>
      </c>
      <c r="K15" s="21"/>
      <c r="L15" s="21"/>
      <c r="M15" s="21"/>
    </row>
    <row r="16" spans="1:21" x14ac:dyDescent="0.25">
      <c r="A16" t="s">
        <v>15</v>
      </c>
      <c r="B16" s="16" t="s">
        <v>9</v>
      </c>
      <c r="C16" t="s">
        <v>7</v>
      </c>
      <c r="D16" t="str">
        <f t="shared" si="0"/>
        <v>MOON-Taurus-Aries</v>
      </c>
      <c r="E16" s="17" t="s">
        <v>103</v>
      </c>
      <c r="F16" s="18" t="s">
        <v>9</v>
      </c>
      <c r="G16" s="19" t="s">
        <v>9</v>
      </c>
      <c r="H16" s="20" t="s">
        <v>99</v>
      </c>
      <c r="I16" s="18" t="s">
        <v>14</v>
      </c>
      <c r="J16" s="21" t="s">
        <v>14</v>
      </c>
      <c r="K16" s="21"/>
      <c r="L16" s="21"/>
      <c r="M16" s="21"/>
    </row>
    <row r="17" spans="1:13" x14ac:dyDescent="0.25">
      <c r="A17" t="s">
        <v>15</v>
      </c>
      <c r="B17" s="16" t="s">
        <v>9</v>
      </c>
      <c r="C17" t="s">
        <v>9</v>
      </c>
      <c r="D17" t="str">
        <f t="shared" si="0"/>
        <v>MOON-Taurus-Taurus</v>
      </c>
      <c r="E17" s="17" t="s">
        <v>98</v>
      </c>
      <c r="F17" s="18" t="s">
        <v>7</v>
      </c>
      <c r="G17" s="19" t="s">
        <v>9</v>
      </c>
      <c r="H17" s="20" t="s">
        <v>101</v>
      </c>
      <c r="I17" s="18" t="s">
        <v>12</v>
      </c>
      <c r="J17" s="21" t="s">
        <v>14</v>
      </c>
      <c r="K17" s="21"/>
      <c r="L17" s="21"/>
      <c r="M17" s="21"/>
    </row>
    <row r="18" spans="1:13" x14ac:dyDescent="0.25">
      <c r="A18" t="s">
        <v>15</v>
      </c>
      <c r="B18" s="16" t="s">
        <v>9</v>
      </c>
      <c r="C18" t="s">
        <v>12</v>
      </c>
      <c r="D18" t="str">
        <f t="shared" si="0"/>
        <v>MOON-Taurus-Gemini</v>
      </c>
      <c r="E18" s="17" t="s">
        <v>100</v>
      </c>
      <c r="F18" s="18" t="s">
        <v>29</v>
      </c>
      <c r="G18" s="19" t="s">
        <v>9</v>
      </c>
      <c r="H18" s="20" t="s">
        <v>103</v>
      </c>
      <c r="I18" s="18" t="s">
        <v>9</v>
      </c>
      <c r="J18" s="21" t="s">
        <v>14</v>
      </c>
      <c r="K18" s="21"/>
      <c r="L18" s="21"/>
      <c r="M18" s="21"/>
    </row>
    <row r="19" spans="1:13" x14ac:dyDescent="0.25">
      <c r="A19" t="s">
        <v>15</v>
      </c>
      <c r="B19" s="16" t="s">
        <v>9</v>
      </c>
      <c r="C19" t="s">
        <v>14</v>
      </c>
      <c r="D19" t="str">
        <f t="shared" si="0"/>
        <v>MOON-Taurus-Cancer</v>
      </c>
      <c r="E19" s="17" t="s">
        <v>102</v>
      </c>
      <c r="F19" s="18" t="s">
        <v>27</v>
      </c>
      <c r="G19" s="19" t="s">
        <v>9</v>
      </c>
      <c r="H19" s="20" t="s">
        <v>98</v>
      </c>
      <c r="I19" s="18" t="s">
        <v>7</v>
      </c>
      <c r="J19" s="21" t="s">
        <v>14</v>
      </c>
      <c r="K19" s="21"/>
      <c r="L19" s="21"/>
      <c r="M19" s="21"/>
    </row>
    <row r="20" spans="1:13" x14ac:dyDescent="0.25">
      <c r="A20" t="s">
        <v>15</v>
      </c>
      <c r="B20" s="16" t="s">
        <v>9</v>
      </c>
      <c r="C20" t="s">
        <v>16</v>
      </c>
      <c r="D20" t="str">
        <f t="shared" si="0"/>
        <v>MOON-Taurus-Leo</v>
      </c>
      <c r="E20" s="17" t="s">
        <v>104</v>
      </c>
      <c r="F20" s="18" t="s">
        <v>25</v>
      </c>
      <c r="G20" s="19" t="s">
        <v>9</v>
      </c>
      <c r="H20" s="20" t="s">
        <v>100</v>
      </c>
      <c r="I20" s="18" t="s">
        <v>29</v>
      </c>
      <c r="J20" s="21" t="s">
        <v>14</v>
      </c>
      <c r="K20" s="21"/>
      <c r="L20" s="21"/>
      <c r="M20" s="21"/>
    </row>
    <row r="21" spans="1:13" x14ac:dyDescent="0.25">
      <c r="A21" t="s">
        <v>15</v>
      </c>
      <c r="B21" s="16" t="s">
        <v>9</v>
      </c>
      <c r="C21" t="s">
        <v>18</v>
      </c>
      <c r="D21" t="str">
        <f t="shared" si="0"/>
        <v>MOON-Taurus-Virgo</v>
      </c>
      <c r="E21" s="17" t="s">
        <v>105</v>
      </c>
      <c r="F21" s="18" t="s">
        <v>23</v>
      </c>
      <c r="G21" s="19" t="s">
        <v>9</v>
      </c>
      <c r="H21" s="20" t="s">
        <v>102</v>
      </c>
      <c r="I21" s="18" t="s">
        <v>27</v>
      </c>
      <c r="J21" s="21" t="s">
        <v>14</v>
      </c>
      <c r="K21" s="21"/>
      <c r="L21" s="21"/>
      <c r="M21" s="21"/>
    </row>
    <row r="22" spans="1:13" x14ac:dyDescent="0.25">
      <c r="A22" t="s">
        <v>15</v>
      </c>
      <c r="B22" s="16" t="s">
        <v>9</v>
      </c>
      <c r="C22" t="s">
        <v>10</v>
      </c>
      <c r="D22" t="str">
        <f t="shared" si="0"/>
        <v>MOON-Taurus-Libra</v>
      </c>
      <c r="E22" s="17" t="s">
        <v>106</v>
      </c>
      <c r="F22" s="18" t="s">
        <v>21</v>
      </c>
      <c r="G22" s="19" t="s">
        <v>9</v>
      </c>
      <c r="H22" s="20" t="s">
        <v>104</v>
      </c>
      <c r="I22" s="18" t="s">
        <v>25</v>
      </c>
      <c r="J22" s="21" t="s">
        <v>14</v>
      </c>
      <c r="K22" s="21"/>
      <c r="L22" s="21"/>
      <c r="M22" s="21"/>
    </row>
    <row r="23" spans="1:13" x14ac:dyDescent="0.25">
      <c r="A23" t="s">
        <v>15</v>
      </c>
      <c r="B23" s="16" t="s">
        <v>9</v>
      </c>
      <c r="C23" t="s">
        <v>21</v>
      </c>
      <c r="D23" t="str">
        <f t="shared" si="0"/>
        <v>MOON-Taurus-Scorpio</v>
      </c>
      <c r="E23" s="17" t="s">
        <v>107</v>
      </c>
      <c r="F23" s="18" t="s">
        <v>10</v>
      </c>
      <c r="G23" s="19" t="s">
        <v>9</v>
      </c>
      <c r="H23" s="20" t="s">
        <v>105</v>
      </c>
      <c r="I23" s="18" t="s">
        <v>23</v>
      </c>
      <c r="J23" s="21" t="s">
        <v>14</v>
      </c>
      <c r="K23" s="21"/>
      <c r="L23" s="21"/>
      <c r="M23" s="21"/>
    </row>
    <row r="24" spans="1:13" x14ac:dyDescent="0.25">
      <c r="A24" t="s">
        <v>15</v>
      </c>
      <c r="B24" s="16" t="s">
        <v>9</v>
      </c>
      <c r="C24" t="s">
        <v>23</v>
      </c>
      <c r="D24" t="str">
        <f t="shared" si="0"/>
        <v>MOON-Taurus-Sagittarius</v>
      </c>
      <c r="E24" s="17" t="s">
        <v>108</v>
      </c>
      <c r="F24" s="18" t="s">
        <v>18</v>
      </c>
      <c r="G24" s="19" t="s">
        <v>9</v>
      </c>
      <c r="H24" s="20" t="s">
        <v>106</v>
      </c>
      <c r="I24" s="18" t="s">
        <v>21</v>
      </c>
      <c r="J24" s="21" t="s">
        <v>14</v>
      </c>
      <c r="K24" s="21"/>
      <c r="L24" s="21"/>
      <c r="M24" s="21"/>
    </row>
    <row r="25" spans="1:13" x14ac:dyDescent="0.25">
      <c r="A25" t="s">
        <v>15</v>
      </c>
      <c r="B25" s="16" t="s">
        <v>9</v>
      </c>
      <c r="C25" t="s">
        <v>25</v>
      </c>
      <c r="D25" t="str">
        <f t="shared" si="0"/>
        <v>MOON-Taurus-Capricorn</v>
      </c>
      <c r="E25" s="17" t="s">
        <v>109</v>
      </c>
      <c r="F25" s="18" t="s">
        <v>16</v>
      </c>
      <c r="G25" s="19" t="s">
        <v>9</v>
      </c>
      <c r="H25" s="20" t="s">
        <v>107</v>
      </c>
      <c r="I25" s="18" t="s">
        <v>10</v>
      </c>
      <c r="J25" s="21" t="s">
        <v>14</v>
      </c>
      <c r="K25" s="21"/>
      <c r="L25" s="21"/>
      <c r="M25" s="21"/>
    </row>
    <row r="26" spans="1:13" x14ac:dyDescent="0.25">
      <c r="A26" t="s">
        <v>15</v>
      </c>
      <c r="B26" s="16" t="s">
        <v>9</v>
      </c>
      <c r="C26" t="s">
        <v>27</v>
      </c>
      <c r="D26" t="str">
        <f t="shared" si="0"/>
        <v>MOON-Taurus-Aquarius</v>
      </c>
      <c r="E26" s="17" t="s">
        <v>99</v>
      </c>
      <c r="F26" s="18" t="s">
        <v>14</v>
      </c>
      <c r="G26" s="19" t="s">
        <v>9</v>
      </c>
      <c r="H26" s="20" t="s">
        <v>108</v>
      </c>
      <c r="I26" s="18" t="s">
        <v>18</v>
      </c>
      <c r="J26" s="21" t="s">
        <v>14</v>
      </c>
      <c r="K26" s="21"/>
      <c r="L26" s="21"/>
      <c r="M26" s="21"/>
    </row>
    <row r="27" spans="1:13" x14ac:dyDescent="0.25">
      <c r="A27" t="s">
        <v>15</v>
      </c>
      <c r="B27" s="16" t="s">
        <v>9</v>
      </c>
      <c r="C27" t="s">
        <v>29</v>
      </c>
      <c r="D27" t="str">
        <f t="shared" si="0"/>
        <v>MOON-Taurus-Pisces</v>
      </c>
      <c r="E27" s="17" t="s">
        <v>101</v>
      </c>
      <c r="F27" s="18" t="s">
        <v>12</v>
      </c>
      <c r="G27" s="19" t="s">
        <v>9</v>
      </c>
      <c r="H27" s="20" t="s">
        <v>109</v>
      </c>
      <c r="I27" s="18" t="s">
        <v>16</v>
      </c>
      <c r="J27" s="21" t="s">
        <v>14</v>
      </c>
      <c r="K27" s="21"/>
      <c r="L27" s="21"/>
      <c r="M27" s="21"/>
    </row>
    <row r="28" spans="1:13" x14ac:dyDescent="0.25">
      <c r="A28" t="s">
        <v>15</v>
      </c>
      <c r="B28" s="16" t="s">
        <v>12</v>
      </c>
      <c r="C28" t="s">
        <v>7</v>
      </c>
      <c r="D28" t="str">
        <f t="shared" si="0"/>
        <v>MOON-Gemini-Aries</v>
      </c>
      <c r="E28" s="17" t="s">
        <v>101</v>
      </c>
      <c r="F28" s="18" t="s">
        <v>12</v>
      </c>
      <c r="G28" s="19" t="s">
        <v>12</v>
      </c>
      <c r="H28" s="20" t="s">
        <v>99</v>
      </c>
      <c r="I28" s="18" t="s">
        <v>14</v>
      </c>
      <c r="J28" s="21" t="s">
        <v>14</v>
      </c>
      <c r="K28" s="21"/>
      <c r="L28" s="21"/>
      <c r="M28" s="21"/>
    </row>
    <row r="29" spans="1:13" x14ac:dyDescent="0.25">
      <c r="A29" t="s">
        <v>15</v>
      </c>
      <c r="B29" s="16" t="s">
        <v>12</v>
      </c>
      <c r="C29" t="s">
        <v>9</v>
      </c>
      <c r="D29" t="str">
        <f t="shared" si="0"/>
        <v>MOON-Gemini-Taurus</v>
      </c>
      <c r="E29" s="17" t="s">
        <v>103</v>
      </c>
      <c r="F29" s="18" t="s">
        <v>9</v>
      </c>
      <c r="G29" s="19" t="s">
        <v>12</v>
      </c>
      <c r="H29" s="20" t="s">
        <v>101</v>
      </c>
      <c r="I29" s="18" t="s">
        <v>12</v>
      </c>
      <c r="J29" s="21" t="s">
        <v>14</v>
      </c>
      <c r="K29" s="21"/>
      <c r="L29" s="21"/>
      <c r="M29" s="21"/>
    </row>
    <row r="30" spans="1:13" x14ac:dyDescent="0.25">
      <c r="A30" t="s">
        <v>15</v>
      </c>
      <c r="B30" s="16" t="s">
        <v>12</v>
      </c>
      <c r="C30" t="s">
        <v>12</v>
      </c>
      <c r="D30" t="str">
        <f t="shared" si="0"/>
        <v>MOON-Gemini-Gemini</v>
      </c>
      <c r="E30" s="17" t="s">
        <v>98</v>
      </c>
      <c r="F30" s="18" t="s">
        <v>7</v>
      </c>
      <c r="G30" s="19" t="s">
        <v>12</v>
      </c>
      <c r="H30" s="20" t="s">
        <v>103</v>
      </c>
      <c r="I30" s="18" t="s">
        <v>9</v>
      </c>
      <c r="J30" s="21" t="s">
        <v>14</v>
      </c>
      <c r="K30" s="21"/>
      <c r="L30" s="21"/>
      <c r="M30" s="21"/>
    </row>
    <row r="31" spans="1:13" x14ac:dyDescent="0.25">
      <c r="A31" t="s">
        <v>15</v>
      </c>
      <c r="B31" s="16" t="s">
        <v>12</v>
      </c>
      <c r="C31" t="s">
        <v>14</v>
      </c>
      <c r="D31" t="str">
        <f t="shared" si="0"/>
        <v>MOON-Gemini-Cancer</v>
      </c>
      <c r="E31" s="17" t="s">
        <v>100</v>
      </c>
      <c r="F31" s="18" t="s">
        <v>29</v>
      </c>
      <c r="G31" s="19" t="s">
        <v>12</v>
      </c>
      <c r="H31" s="20" t="s">
        <v>98</v>
      </c>
      <c r="I31" s="18" t="s">
        <v>7</v>
      </c>
      <c r="J31" s="21" t="s">
        <v>14</v>
      </c>
      <c r="K31" s="21"/>
      <c r="L31" s="21"/>
      <c r="M31" s="21"/>
    </row>
    <row r="32" spans="1:13" x14ac:dyDescent="0.25">
      <c r="A32" t="s">
        <v>15</v>
      </c>
      <c r="B32" s="16" t="s">
        <v>12</v>
      </c>
      <c r="C32" t="s">
        <v>16</v>
      </c>
      <c r="D32" t="str">
        <f t="shared" si="0"/>
        <v>MOON-Gemini-Leo</v>
      </c>
      <c r="E32" s="17" t="s">
        <v>102</v>
      </c>
      <c r="F32" s="18" t="s">
        <v>27</v>
      </c>
      <c r="G32" s="19" t="s">
        <v>12</v>
      </c>
      <c r="H32" s="20" t="s">
        <v>100</v>
      </c>
      <c r="I32" s="18" t="s">
        <v>29</v>
      </c>
      <c r="J32" s="21" t="s">
        <v>14</v>
      </c>
      <c r="K32" s="21"/>
      <c r="L32" s="21"/>
      <c r="M32" s="21"/>
    </row>
    <row r="33" spans="1:13" x14ac:dyDescent="0.25">
      <c r="A33" t="s">
        <v>15</v>
      </c>
      <c r="B33" s="16" t="s">
        <v>12</v>
      </c>
      <c r="C33" t="s">
        <v>18</v>
      </c>
      <c r="D33" t="str">
        <f t="shared" si="0"/>
        <v>MOON-Gemini-Virgo</v>
      </c>
      <c r="E33" s="17" t="s">
        <v>104</v>
      </c>
      <c r="F33" s="18" t="s">
        <v>25</v>
      </c>
      <c r="G33" s="19" t="s">
        <v>12</v>
      </c>
      <c r="H33" s="20" t="s">
        <v>102</v>
      </c>
      <c r="I33" s="18" t="s">
        <v>27</v>
      </c>
      <c r="J33" s="21" t="s">
        <v>14</v>
      </c>
      <c r="K33" s="21"/>
      <c r="L33" s="21"/>
      <c r="M33" s="21"/>
    </row>
    <row r="34" spans="1:13" x14ac:dyDescent="0.25">
      <c r="A34" t="s">
        <v>15</v>
      </c>
      <c r="B34" s="16" t="s">
        <v>12</v>
      </c>
      <c r="C34" t="s">
        <v>10</v>
      </c>
      <c r="D34" t="str">
        <f t="shared" si="0"/>
        <v>MOON-Gemini-Libra</v>
      </c>
      <c r="E34" s="17" t="s">
        <v>105</v>
      </c>
      <c r="F34" s="18" t="s">
        <v>23</v>
      </c>
      <c r="G34" s="19" t="s">
        <v>12</v>
      </c>
      <c r="H34" s="20" t="s">
        <v>104</v>
      </c>
      <c r="I34" s="18" t="s">
        <v>25</v>
      </c>
      <c r="J34" s="21" t="s">
        <v>14</v>
      </c>
      <c r="K34" s="21"/>
      <c r="L34" s="21"/>
      <c r="M34" s="21"/>
    </row>
    <row r="35" spans="1:13" x14ac:dyDescent="0.25">
      <c r="A35" t="s">
        <v>15</v>
      </c>
      <c r="B35" s="16" t="s">
        <v>12</v>
      </c>
      <c r="C35" t="s">
        <v>21</v>
      </c>
      <c r="D35" t="str">
        <f t="shared" si="0"/>
        <v>MOON-Gemini-Scorpio</v>
      </c>
      <c r="E35" s="17" t="s">
        <v>106</v>
      </c>
      <c r="F35" s="18" t="s">
        <v>21</v>
      </c>
      <c r="G35" s="19" t="s">
        <v>12</v>
      </c>
      <c r="H35" s="20" t="s">
        <v>105</v>
      </c>
      <c r="I35" s="18" t="s">
        <v>23</v>
      </c>
      <c r="J35" s="21" t="s">
        <v>14</v>
      </c>
      <c r="K35" s="21"/>
      <c r="L35" s="21"/>
      <c r="M35" s="21"/>
    </row>
    <row r="36" spans="1:13" x14ac:dyDescent="0.25">
      <c r="A36" t="s">
        <v>15</v>
      </c>
      <c r="B36" s="16" t="s">
        <v>12</v>
      </c>
      <c r="C36" t="s">
        <v>23</v>
      </c>
      <c r="D36" t="str">
        <f t="shared" si="0"/>
        <v>MOON-Gemini-Sagittarius</v>
      </c>
      <c r="E36" s="17" t="s">
        <v>107</v>
      </c>
      <c r="F36" s="18" t="s">
        <v>10</v>
      </c>
      <c r="G36" s="19" t="s">
        <v>12</v>
      </c>
      <c r="H36" s="20" t="s">
        <v>106</v>
      </c>
      <c r="I36" s="18" t="s">
        <v>21</v>
      </c>
      <c r="J36" s="21" t="s">
        <v>14</v>
      </c>
      <c r="K36" s="21"/>
      <c r="L36" s="21"/>
      <c r="M36" s="21"/>
    </row>
    <row r="37" spans="1:13" x14ac:dyDescent="0.25">
      <c r="A37" t="s">
        <v>15</v>
      </c>
      <c r="B37" s="16" t="s">
        <v>12</v>
      </c>
      <c r="C37" t="s">
        <v>25</v>
      </c>
      <c r="D37" t="str">
        <f t="shared" si="0"/>
        <v>MOON-Gemini-Capricorn</v>
      </c>
      <c r="E37" s="17" t="s">
        <v>108</v>
      </c>
      <c r="F37" s="18" t="s">
        <v>18</v>
      </c>
      <c r="G37" s="19" t="s">
        <v>12</v>
      </c>
      <c r="H37" s="20" t="s">
        <v>107</v>
      </c>
      <c r="I37" s="18" t="s">
        <v>10</v>
      </c>
      <c r="J37" s="21" t="s">
        <v>14</v>
      </c>
      <c r="K37" s="21"/>
      <c r="L37" s="21"/>
      <c r="M37" s="21"/>
    </row>
    <row r="38" spans="1:13" x14ac:dyDescent="0.25">
      <c r="A38" t="s">
        <v>15</v>
      </c>
      <c r="B38" s="16" t="s">
        <v>12</v>
      </c>
      <c r="C38" t="s">
        <v>27</v>
      </c>
      <c r="D38" t="str">
        <f t="shared" si="0"/>
        <v>MOON-Gemini-Aquarius</v>
      </c>
      <c r="E38" s="17" t="s">
        <v>109</v>
      </c>
      <c r="F38" s="18" t="s">
        <v>16</v>
      </c>
      <c r="G38" s="19" t="s">
        <v>12</v>
      </c>
      <c r="H38" s="20" t="s">
        <v>108</v>
      </c>
      <c r="I38" s="18" t="s">
        <v>18</v>
      </c>
      <c r="J38" s="21" t="s">
        <v>14</v>
      </c>
      <c r="K38" s="21"/>
      <c r="L38" s="21"/>
      <c r="M38" s="21"/>
    </row>
    <row r="39" spans="1:13" x14ac:dyDescent="0.25">
      <c r="A39" t="s">
        <v>15</v>
      </c>
      <c r="B39" s="16" t="s">
        <v>12</v>
      </c>
      <c r="C39" t="s">
        <v>29</v>
      </c>
      <c r="D39" t="str">
        <f t="shared" si="0"/>
        <v>MOON-Gemini-Pisces</v>
      </c>
      <c r="E39" s="17" t="s">
        <v>99</v>
      </c>
      <c r="F39" s="18" t="s">
        <v>14</v>
      </c>
      <c r="G39" s="19" t="s">
        <v>12</v>
      </c>
      <c r="H39" s="20" t="s">
        <v>109</v>
      </c>
      <c r="I39" s="18" t="s">
        <v>16</v>
      </c>
      <c r="J39" s="21" t="s">
        <v>14</v>
      </c>
      <c r="K39" s="21"/>
      <c r="L39" s="21"/>
      <c r="M39" s="21"/>
    </row>
    <row r="40" spans="1:13" x14ac:dyDescent="0.25">
      <c r="A40" t="s">
        <v>15</v>
      </c>
      <c r="B40" s="16" t="s">
        <v>14</v>
      </c>
      <c r="C40" t="s">
        <v>7</v>
      </c>
      <c r="D40" t="str">
        <f t="shared" si="0"/>
        <v>MOON-Cancer-Aries</v>
      </c>
      <c r="E40" s="17" t="s">
        <v>99</v>
      </c>
      <c r="F40" s="18" t="s">
        <v>14</v>
      </c>
      <c r="G40" s="19" t="s">
        <v>14</v>
      </c>
      <c r="H40" s="20" t="s">
        <v>99</v>
      </c>
      <c r="I40" s="18" t="s">
        <v>14</v>
      </c>
      <c r="J40" s="21" t="s">
        <v>14</v>
      </c>
      <c r="K40" s="21"/>
      <c r="L40" s="21"/>
      <c r="M40" s="21"/>
    </row>
    <row r="41" spans="1:13" x14ac:dyDescent="0.25">
      <c r="A41" t="s">
        <v>15</v>
      </c>
      <c r="B41" s="16" t="s">
        <v>14</v>
      </c>
      <c r="C41" t="s">
        <v>9</v>
      </c>
      <c r="D41" t="str">
        <f t="shared" si="0"/>
        <v>MOON-Cancer-Taurus</v>
      </c>
      <c r="E41" s="17" t="s">
        <v>101</v>
      </c>
      <c r="F41" s="18" t="s">
        <v>12</v>
      </c>
      <c r="G41" s="19" t="s">
        <v>14</v>
      </c>
      <c r="H41" s="20" t="s">
        <v>101</v>
      </c>
      <c r="I41" s="18" t="s">
        <v>12</v>
      </c>
      <c r="J41" s="21" t="s">
        <v>14</v>
      </c>
      <c r="K41" s="21"/>
      <c r="L41" s="21"/>
      <c r="M41" s="21"/>
    </row>
    <row r="42" spans="1:13" x14ac:dyDescent="0.25">
      <c r="A42" t="s">
        <v>15</v>
      </c>
      <c r="B42" s="16" t="s">
        <v>14</v>
      </c>
      <c r="C42" t="s">
        <v>12</v>
      </c>
      <c r="D42" t="str">
        <f t="shared" si="0"/>
        <v>MOON-Cancer-Gemini</v>
      </c>
      <c r="E42" s="17" t="s">
        <v>103</v>
      </c>
      <c r="F42" s="18" t="s">
        <v>9</v>
      </c>
      <c r="G42" s="19" t="s">
        <v>14</v>
      </c>
      <c r="H42" s="20" t="s">
        <v>103</v>
      </c>
      <c r="I42" s="18" t="s">
        <v>9</v>
      </c>
      <c r="J42" s="21" t="s">
        <v>14</v>
      </c>
      <c r="K42" s="21"/>
      <c r="L42" s="21"/>
      <c r="M42" s="21"/>
    </row>
    <row r="43" spans="1:13" x14ac:dyDescent="0.25">
      <c r="A43" t="s">
        <v>15</v>
      </c>
      <c r="B43" s="16" t="s">
        <v>14</v>
      </c>
      <c r="C43" t="s">
        <v>14</v>
      </c>
      <c r="D43" t="str">
        <f t="shared" si="0"/>
        <v>MOON-Cancer-Cancer</v>
      </c>
      <c r="E43" s="17" t="s">
        <v>98</v>
      </c>
      <c r="F43" s="18" t="s">
        <v>7</v>
      </c>
      <c r="G43" s="19" t="s">
        <v>14</v>
      </c>
      <c r="H43" s="20" t="s">
        <v>98</v>
      </c>
      <c r="I43" s="18" t="s">
        <v>7</v>
      </c>
      <c r="J43" s="21" t="s">
        <v>14</v>
      </c>
      <c r="K43" s="21"/>
      <c r="L43" s="21"/>
      <c r="M43" s="21"/>
    </row>
    <row r="44" spans="1:13" x14ac:dyDescent="0.25">
      <c r="A44" t="s">
        <v>15</v>
      </c>
      <c r="B44" s="16" t="s">
        <v>14</v>
      </c>
      <c r="C44" t="s">
        <v>16</v>
      </c>
      <c r="D44" t="str">
        <f t="shared" si="0"/>
        <v>MOON-Cancer-Leo</v>
      </c>
      <c r="E44" s="17" t="s">
        <v>100</v>
      </c>
      <c r="F44" s="18" t="s">
        <v>29</v>
      </c>
      <c r="G44" s="19" t="s">
        <v>14</v>
      </c>
      <c r="H44" s="20" t="s">
        <v>100</v>
      </c>
      <c r="I44" s="18" t="s">
        <v>29</v>
      </c>
      <c r="J44" s="21" t="s">
        <v>14</v>
      </c>
      <c r="K44" s="21"/>
      <c r="L44" s="21"/>
      <c r="M44" s="21"/>
    </row>
    <row r="45" spans="1:13" x14ac:dyDescent="0.25">
      <c r="A45" t="s">
        <v>15</v>
      </c>
      <c r="B45" s="16" t="s">
        <v>14</v>
      </c>
      <c r="C45" t="s">
        <v>18</v>
      </c>
      <c r="D45" t="str">
        <f t="shared" si="0"/>
        <v>MOON-Cancer-Virgo</v>
      </c>
      <c r="E45" s="17" t="s">
        <v>102</v>
      </c>
      <c r="F45" s="18" t="s">
        <v>27</v>
      </c>
      <c r="G45" s="19" t="s">
        <v>14</v>
      </c>
      <c r="H45" s="20" t="s">
        <v>102</v>
      </c>
      <c r="I45" s="18" t="s">
        <v>27</v>
      </c>
      <c r="J45" s="21" t="s">
        <v>14</v>
      </c>
      <c r="K45" s="21"/>
      <c r="L45" s="21"/>
      <c r="M45" s="21"/>
    </row>
    <row r="46" spans="1:13" x14ac:dyDescent="0.25">
      <c r="A46" t="s">
        <v>15</v>
      </c>
      <c r="B46" s="16" t="s">
        <v>14</v>
      </c>
      <c r="C46" t="s">
        <v>10</v>
      </c>
      <c r="D46" t="str">
        <f t="shared" si="0"/>
        <v>MOON-Cancer-Libra</v>
      </c>
      <c r="E46" s="17" t="s">
        <v>104</v>
      </c>
      <c r="F46" s="18" t="s">
        <v>25</v>
      </c>
      <c r="G46" s="19" t="s">
        <v>14</v>
      </c>
      <c r="H46" s="20" t="s">
        <v>104</v>
      </c>
      <c r="I46" s="18" t="s">
        <v>25</v>
      </c>
      <c r="J46" s="21" t="s">
        <v>14</v>
      </c>
      <c r="K46" s="21"/>
      <c r="L46" s="21"/>
      <c r="M46" s="21"/>
    </row>
    <row r="47" spans="1:13" x14ac:dyDescent="0.25">
      <c r="A47" t="s">
        <v>15</v>
      </c>
      <c r="B47" s="16" t="s">
        <v>14</v>
      </c>
      <c r="C47" t="s">
        <v>21</v>
      </c>
      <c r="D47" t="str">
        <f t="shared" si="0"/>
        <v>MOON-Cancer-Scorpio</v>
      </c>
      <c r="E47" s="17" t="s">
        <v>105</v>
      </c>
      <c r="F47" s="18" t="s">
        <v>23</v>
      </c>
      <c r="G47" s="19" t="s">
        <v>14</v>
      </c>
      <c r="H47" s="20" t="s">
        <v>105</v>
      </c>
      <c r="I47" s="18" t="s">
        <v>23</v>
      </c>
      <c r="J47" s="21" t="s">
        <v>14</v>
      </c>
      <c r="K47" s="21"/>
      <c r="L47" s="21"/>
      <c r="M47" s="21"/>
    </row>
    <row r="48" spans="1:13" x14ac:dyDescent="0.25">
      <c r="A48" t="s">
        <v>15</v>
      </c>
      <c r="B48" s="16" t="s">
        <v>14</v>
      </c>
      <c r="C48" t="s">
        <v>23</v>
      </c>
      <c r="D48" t="str">
        <f t="shared" si="0"/>
        <v>MOON-Cancer-Sagittarius</v>
      </c>
      <c r="E48" s="17" t="s">
        <v>106</v>
      </c>
      <c r="F48" s="18" t="s">
        <v>21</v>
      </c>
      <c r="G48" s="19" t="s">
        <v>14</v>
      </c>
      <c r="H48" s="20" t="s">
        <v>106</v>
      </c>
      <c r="I48" s="18" t="s">
        <v>21</v>
      </c>
      <c r="J48" s="21" t="s">
        <v>14</v>
      </c>
      <c r="K48" s="21"/>
      <c r="L48" s="21"/>
      <c r="M48" s="21"/>
    </row>
    <row r="49" spans="1:13" x14ac:dyDescent="0.25">
      <c r="A49" t="s">
        <v>15</v>
      </c>
      <c r="B49" s="16" t="s">
        <v>14</v>
      </c>
      <c r="C49" t="s">
        <v>25</v>
      </c>
      <c r="D49" t="str">
        <f t="shared" si="0"/>
        <v>MOON-Cancer-Capricorn</v>
      </c>
      <c r="E49" s="17" t="s">
        <v>107</v>
      </c>
      <c r="F49" s="18" t="s">
        <v>10</v>
      </c>
      <c r="G49" s="19" t="s">
        <v>14</v>
      </c>
      <c r="H49" s="20" t="s">
        <v>107</v>
      </c>
      <c r="I49" s="18" t="s">
        <v>10</v>
      </c>
      <c r="J49" s="21" t="s">
        <v>14</v>
      </c>
      <c r="K49" s="21"/>
      <c r="L49" s="21"/>
      <c r="M49" s="21"/>
    </row>
    <row r="50" spans="1:13" x14ac:dyDescent="0.25">
      <c r="A50" t="s">
        <v>15</v>
      </c>
      <c r="B50" s="16" t="s">
        <v>14</v>
      </c>
      <c r="C50" t="s">
        <v>27</v>
      </c>
      <c r="D50" t="str">
        <f t="shared" si="0"/>
        <v>MOON-Cancer-Aquarius</v>
      </c>
      <c r="E50" s="17" t="s">
        <v>108</v>
      </c>
      <c r="F50" s="18" t="s">
        <v>18</v>
      </c>
      <c r="G50" s="19" t="s">
        <v>14</v>
      </c>
      <c r="H50" s="20" t="s">
        <v>108</v>
      </c>
      <c r="I50" s="18" t="s">
        <v>18</v>
      </c>
      <c r="J50" s="21" t="s">
        <v>14</v>
      </c>
      <c r="K50" s="21"/>
      <c r="L50" s="21"/>
      <c r="M50" s="21"/>
    </row>
    <row r="51" spans="1:13" x14ac:dyDescent="0.25">
      <c r="A51" t="s">
        <v>15</v>
      </c>
      <c r="B51" s="16" t="s">
        <v>14</v>
      </c>
      <c r="C51" t="s">
        <v>29</v>
      </c>
      <c r="D51" t="str">
        <f t="shared" si="0"/>
        <v>MOON-Cancer-Pisces</v>
      </c>
      <c r="E51" s="17" t="s">
        <v>109</v>
      </c>
      <c r="F51" s="18" t="s">
        <v>16</v>
      </c>
      <c r="G51" s="19" t="s">
        <v>14</v>
      </c>
      <c r="H51" s="20" t="s">
        <v>109</v>
      </c>
      <c r="I51" s="18" t="s">
        <v>16</v>
      </c>
      <c r="J51" s="21" t="s">
        <v>14</v>
      </c>
      <c r="K51" s="21"/>
      <c r="L51" s="21"/>
      <c r="M51" s="21"/>
    </row>
    <row r="52" spans="1:13" x14ac:dyDescent="0.25">
      <c r="A52" t="s">
        <v>15</v>
      </c>
      <c r="B52" s="16" t="s">
        <v>16</v>
      </c>
      <c r="C52" t="s">
        <v>7</v>
      </c>
      <c r="D52" t="str">
        <f t="shared" si="0"/>
        <v>MOON-Leo-Aries</v>
      </c>
      <c r="E52" s="17" t="s">
        <v>109</v>
      </c>
      <c r="F52" s="18" t="s">
        <v>16</v>
      </c>
      <c r="G52" s="19" t="s">
        <v>16</v>
      </c>
      <c r="H52" s="20" t="s">
        <v>99</v>
      </c>
      <c r="I52" s="18" t="s">
        <v>14</v>
      </c>
      <c r="J52" s="21" t="s">
        <v>14</v>
      </c>
      <c r="K52" s="21"/>
      <c r="L52" s="21"/>
      <c r="M52" s="21"/>
    </row>
    <row r="53" spans="1:13" x14ac:dyDescent="0.25">
      <c r="A53" t="s">
        <v>15</v>
      </c>
      <c r="B53" s="16" t="s">
        <v>16</v>
      </c>
      <c r="C53" t="s">
        <v>9</v>
      </c>
      <c r="D53" t="str">
        <f t="shared" si="0"/>
        <v>MOON-Leo-Taurus</v>
      </c>
      <c r="E53" s="17" t="s">
        <v>99</v>
      </c>
      <c r="F53" s="18" t="s">
        <v>14</v>
      </c>
      <c r="G53" s="19" t="s">
        <v>16</v>
      </c>
      <c r="H53" s="20" t="s">
        <v>101</v>
      </c>
      <c r="I53" s="18" t="s">
        <v>12</v>
      </c>
      <c r="J53" s="21" t="s">
        <v>14</v>
      </c>
      <c r="K53" s="21"/>
      <c r="L53" s="21"/>
      <c r="M53" s="21"/>
    </row>
    <row r="54" spans="1:13" x14ac:dyDescent="0.25">
      <c r="A54" t="s">
        <v>15</v>
      </c>
      <c r="B54" s="16" t="s">
        <v>16</v>
      </c>
      <c r="C54" t="s">
        <v>12</v>
      </c>
      <c r="D54" t="str">
        <f t="shared" si="0"/>
        <v>MOON-Leo-Gemini</v>
      </c>
      <c r="E54" s="17" t="s">
        <v>101</v>
      </c>
      <c r="F54" s="18" t="s">
        <v>12</v>
      </c>
      <c r="G54" s="19" t="s">
        <v>16</v>
      </c>
      <c r="H54" s="20" t="s">
        <v>103</v>
      </c>
      <c r="I54" s="18" t="s">
        <v>9</v>
      </c>
      <c r="J54" s="21" t="s">
        <v>14</v>
      </c>
      <c r="K54" s="21"/>
      <c r="L54" s="21"/>
      <c r="M54" s="21"/>
    </row>
    <row r="55" spans="1:13" x14ac:dyDescent="0.25">
      <c r="A55" t="s">
        <v>15</v>
      </c>
      <c r="B55" s="16" t="s">
        <v>16</v>
      </c>
      <c r="C55" t="s">
        <v>14</v>
      </c>
      <c r="D55" t="str">
        <f t="shared" si="0"/>
        <v>MOON-Leo-Cancer</v>
      </c>
      <c r="E55" s="17" t="s">
        <v>103</v>
      </c>
      <c r="F55" s="18" t="s">
        <v>9</v>
      </c>
      <c r="G55" s="19" t="s">
        <v>16</v>
      </c>
      <c r="H55" s="20" t="s">
        <v>98</v>
      </c>
      <c r="I55" s="18" t="s">
        <v>7</v>
      </c>
      <c r="J55" s="21" t="s">
        <v>14</v>
      </c>
      <c r="K55" s="21"/>
      <c r="L55" s="21"/>
      <c r="M55" s="21"/>
    </row>
    <row r="56" spans="1:13" x14ac:dyDescent="0.25">
      <c r="A56" t="s">
        <v>15</v>
      </c>
      <c r="B56" s="16" t="s">
        <v>16</v>
      </c>
      <c r="C56" t="s">
        <v>16</v>
      </c>
      <c r="D56" t="str">
        <f t="shared" si="0"/>
        <v>MOON-Leo-Leo</v>
      </c>
      <c r="E56" s="17" t="s">
        <v>98</v>
      </c>
      <c r="F56" s="18" t="s">
        <v>7</v>
      </c>
      <c r="G56" s="19" t="s">
        <v>16</v>
      </c>
      <c r="H56" s="20" t="s">
        <v>100</v>
      </c>
      <c r="I56" s="18" t="s">
        <v>29</v>
      </c>
      <c r="J56" s="21" t="s">
        <v>14</v>
      </c>
      <c r="K56" s="21"/>
      <c r="L56" s="21"/>
      <c r="M56" s="21"/>
    </row>
    <row r="57" spans="1:13" x14ac:dyDescent="0.25">
      <c r="A57" t="s">
        <v>15</v>
      </c>
      <c r="B57" s="16" t="s">
        <v>16</v>
      </c>
      <c r="C57" t="s">
        <v>18</v>
      </c>
      <c r="D57" t="str">
        <f t="shared" si="0"/>
        <v>MOON-Leo-Virgo</v>
      </c>
      <c r="E57" s="17" t="s">
        <v>100</v>
      </c>
      <c r="F57" s="18" t="s">
        <v>29</v>
      </c>
      <c r="G57" s="19" t="s">
        <v>16</v>
      </c>
      <c r="H57" s="20" t="s">
        <v>102</v>
      </c>
      <c r="I57" s="18" t="s">
        <v>27</v>
      </c>
      <c r="J57" s="21" t="s">
        <v>14</v>
      </c>
      <c r="K57" s="21"/>
      <c r="L57" s="21"/>
      <c r="M57" s="21"/>
    </row>
    <row r="58" spans="1:13" x14ac:dyDescent="0.25">
      <c r="A58" t="s">
        <v>15</v>
      </c>
      <c r="B58" s="16" t="s">
        <v>16</v>
      </c>
      <c r="C58" t="s">
        <v>10</v>
      </c>
      <c r="D58" t="str">
        <f t="shared" si="0"/>
        <v>MOON-Leo-Libra</v>
      </c>
      <c r="E58" s="17" t="s">
        <v>102</v>
      </c>
      <c r="F58" s="18" t="s">
        <v>27</v>
      </c>
      <c r="G58" s="19" t="s">
        <v>16</v>
      </c>
      <c r="H58" s="20" t="s">
        <v>104</v>
      </c>
      <c r="I58" s="18" t="s">
        <v>25</v>
      </c>
      <c r="J58" s="21" t="s">
        <v>14</v>
      </c>
      <c r="K58" s="21"/>
      <c r="L58" s="21"/>
      <c r="M58" s="21"/>
    </row>
    <row r="59" spans="1:13" x14ac:dyDescent="0.25">
      <c r="A59" t="s">
        <v>15</v>
      </c>
      <c r="B59" s="16" t="s">
        <v>16</v>
      </c>
      <c r="C59" t="s">
        <v>21</v>
      </c>
      <c r="D59" t="str">
        <f t="shared" si="0"/>
        <v>MOON-Leo-Scorpio</v>
      </c>
      <c r="E59" s="17" t="s">
        <v>104</v>
      </c>
      <c r="F59" s="18" t="s">
        <v>25</v>
      </c>
      <c r="G59" s="19" t="s">
        <v>16</v>
      </c>
      <c r="H59" s="20" t="s">
        <v>105</v>
      </c>
      <c r="I59" s="18" t="s">
        <v>23</v>
      </c>
      <c r="J59" s="21" t="s">
        <v>14</v>
      </c>
      <c r="K59" s="21"/>
      <c r="L59" s="21"/>
      <c r="M59" s="21"/>
    </row>
    <row r="60" spans="1:13" x14ac:dyDescent="0.25">
      <c r="A60" t="s">
        <v>15</v>
      </c>
      <c r="B60" s="16" t="s">
        <v>16</v>
      </c>
      <c r="C60" t="s">
        <v>23</v>
      </c>
      <c r="D60" t="str">
        <f t="shared" si="0"/>
        <v>MOON-Leo-Sagittarius</v>
      </c>
      <c r="E60" s="17" t="s">
        <v>105</v>
      </c>
      <c r="F60" s="18" t="s">
        <v>23</v>
      </c>
      <c r="G60" s="19" t="s">
        <v>16</v>
      </c>
      <c r="H60" s="20" t="s">
        <v>106</v>
      </c>
      <c r="I60" s="18" t="s">
        <v>21</v>
      </c>
      <c r="J60" s="21" t="s">
        <v>14</v>
      </c>
      <c r="K60" s="21"/>
      <c r="L60" s="21"/>
      <c r="M60" s="21"/>
    </row>
    <row r="61" spans="1:13" x14ac:dyDescent="0.25">
      <c r="A61" t="s">
        <v>15</v>
      </c>
      <c r="B61" s="16" t="s">
        <v>16</v>
      </c>
      <c r="C61" t="s">
        <v>25</v>
      </c>
      <c r="D61" t="str">
        <f t="shared" si="0"/>
        <v>MOON-Leo-Capricorn</v>
      </c>
      <c r="E61" s="17" t="s">
        <v>106</v>
      </c>
      <c r="F61" s="18" t="s">
        <v>21</v>
      </c>
      <c r="G61" s="19" t="s">
        <v>16</v>
      </c>
      <c r="H61" s="20" t="s">
        <v>107</v>
      </c>
      <c r="I61" s="18" t="s">
        <v>10</v>
      </c>
      <c r="J61" s="21" t="s">
        <v>14</v>
      </c>
      <c r="K61" s="21"/>
      <c r="L61" s="21"/>
      <c r="M61" s="21"/>
    </row>
    <row r="62" spans="1:13" x14ac:dyDescent="0.25">
      <c r="A62" t="s">
        <v>15</v>
      </c>
      <c r="B62" s="16" t="s">
        <v>16</v>
      </c>
      <c r="C62" t="s">
        <v>27</v>
      </c>
      <c r="D62" t="str">
        <f t="shared" si="0"/>
        <v>MOON-Leo-Aquarius</v>
      </c>
      <c r="E62" s="17" t="s">
        <v>107</v>
      </c>
      <c r="F62" s="18" t="s">
        <v>10</v>
      </c>
      <c r="G62" s="19" t="s">
        <v>16</v>
      </c>
      <c r="H62" s="20" t="s">
        <v>108</v>
      </c>
      <c r="I62" s="18" t="s">
        <v>18</v>
      </c>
      <c r="J62" s="21" t="s">
        <v>14</v>
      </c>
      <c r="K62" s="21"/>
      <c r="L62" s="21"/>
      <c r="M62" s="21"/>
    </row>
    <row r="63" spans="1:13" x14ac:dyDescent="0.25">
      <c r="A63" t="s">
        <v>15</v>
      </c>
      <c r="B63" s="16" t="s">
        <v>16</v>
      </c>
      <c r="C63" t="s">
        <v>29</v>
      </c>
      <c r="D63" t="str">
        <f t="shared" si="0"/>
        <v>MOON-Leo-Pisces</v>
      </c>
      <c r="E63" s="17" t="s">
        <v>108</v>
      </c>
      <c r="F63" s="18" t="s">
        <v>18</v>
      </c>
      <c r="G63" s="19" t="s">
        <v>16</v>
      </c>
      <c r="H63" s="20" t="s">
        <v>109</v>
      </c>
      <c r="I63" s="18" t="s">
        <v>16</v>
      </c>
      <c r="J63" s="21" t="s">
        <v>14</v>
      </c>
      <c r="K63" s="21"/>
      <c r="L63" s="21"/>
      <c r="M63" s="21"/>
    </row>
    <row r="64" spans="1:13" x14ac:dyDescent="0.25">
      <c r="A64" t="s">
        <v>15</v>
      </c>
      <c r="B64" s="16" t="s">
        <v>18</v>
      </c>
      <c r="C64" t="s">
        <v>7</v>
      </c>
      <c r="D64" t="str">
        <f t="shared" si="0"/>
        <v>MOON-Virgo-Aries</v>
      </c>
      <c r="E64" s="17" t="s">
        <v>108</v>
      </c>
      <c r="F64" s="18" t="s">
        <v>18</v>
      </c>
      <c r="G64" s="19" t="s">
        <v>18</v>
      </c>
      <c r="H64" s="20" t="s">
        <v>99</v>
      </c>
      <c r="I64" s="18" t="s">
        <v>14</v>
      </c>
      <c r="J64" s="21" t="s">
        <v>14</v>
      </c>
      <c r="K64" s="21"/>
      <c r="L64" s="21"/>
      <c r="M64" s="21"/>
    </row>
    <row r="65" spans="1:13" x14ac:dyDescent="0.25">
      <c r="A65" t="s">
        <v>15</v>
      </c>
      <c r="B65" s="16" t="s">
        <v>18</v>
      </c>
      <c r="C65" t="s">
        <v>9</v>
      </c>
      <c r="D65" t="str">
        <f t="shared" si="0"/>
        <v>MOON-Virgo-Taurus</v>
      </c>
      <c r="E65" s="17" t="s">
        <v>109</v>
      </c>
      <c r="F65" s="18" t="s">
        <v>16</v>
      </c>
      <c r="G65" s="19" t="s">
        <v>18</v>
      </c>
      <c r="H65" s="20" t="s">
        <v>101</v>
      </c>
      <c r="I65" s="18" t="s">
        <v>12</v>
      </c>
      <c r="J65" s="21" t="s">
        <v>14</v>
      </c>
      <c r="K65" s="21"/>
      <c r="L65" s="21"/>
      <c r="M65" s="21"/>
    </row>
    <row r="66" spans="1:13" x14ac:dyDescent="0.25">
      <c r="A66" t="s">
        <v>15</v>
      </c>
      <c r="B66" s="16" t="s">
        <v>18</v>
      </c>
      <c r="C66" t="s">
        <v>12</v>
      </c>
      <c r="D66" t="str">
        <f t="shared" si="0"/>
        <v>MOON-Virgo-Gemini</v>
      </c>
      <c r="E66" s="17" t="s">
        <v>99</v>
      </c>
      <c r="F66" s="18" t="s">
        <v>14</v>
      </c>
      <c r="G66" s="19" t="s">
        <v>18</v>
      </c>
      <c r="H66" s="20" t="s">
        <v>103</v>
      </c>
      <c r="I66" s="18" t="s">
        <v>9</v>
      </c>
      <c r="J66" s="21" t="s">
        <v>14</v>
      </c>
      <c r="K66" s="21"/>
      <c r="L66" s="21"/>
      <c r="M66" s="21"/>
    </row>
    <row r="67" spans="1:13" x14ac:dyDescent="0.25">
      <c r="A67" t="s">
        <v>15</v>
      </c>
      <c r="B67" s="16" t="s">
        <v>18</v>
      </c>
      <c r="C67" t="s">
        <v>14</v>
      </c>
      <c r="D67" t="str">
        <f t="shared" si="0"/>
        <v>MOON-Virgo-Cancer</v>
      </c>
      <c r="E67" s="17" t="s">
        <v>101</v>
      </c>
      <c r="F67" s="18" t="s">
        <v>12</v>
      </c>
      <c r="G67" s="19" t="s">
        <v>18</v>
      </c>
      <c r="H67" s="20" t="s">
        <v>98</v>
      </c>
      <c r="I67" s="18" t="s">
        <v>7</v>
      </c>
      <c r="J67" s="21" t="s">
        <v>14</v>
      </c>
      <c r="K67" s="21"/>
      <c r="L67" s="21"/>
      <c r="M67" s="21"/>
    </row>
    <row r="68" spans="1:13" x14ac:dyDescent="0.25">
      <c r="A68" t="s">
        <v>15</v>
      </c>
      <c r="B68" s="16" t="s">
        <v>18</v>
      </c>
      <c r="C68" t="s">
        <v>16</v>
      </c>
      <c r="D68" t="str">
        <f t="shared" ref="D68:D131" si="1">A68&amp;"-"&amp;B68&amp;"-"&amp;C68</f>
        <v>MOON-Virgo-Leo</v>
      </c>
      <c r="E68" s="17" t="s">
        <v>103</v>
      </c>
      <c r="F68" s="18" t="s">
        <v>9</v>
      </c>
      <c r="G68" s="19" t="s">
        <v>18</v>
      </c>
      <c r="H68" s="20" t="s">
        <v>100</v>
      </c>
      <c r="I68" s="18" t="s">
        <v>29</v>
      </c>
      <c r="J68" s="21" t="s">
        <v>14</v>
      </c>
      <c r="K68" s="21"/>
      <c r="L68" s="21"/>
      <c r="M68" s="21"/>
    </row>
    <row r="69" spans="1:13" x14ac:dyDescent="0.25">
      <c r="A69" t="s">
        <v>15</v>
      </c>
      <c r="B69" s="16" t="s">
        <v>18</v>
      </c>
      <c r="C69" t="s">
        <v>18</v>
      </c>
      <c r="D69" t="str">
        <f t="shared" si="1"/>
        <v>MOON-Virgo-Virgo</v>
      </c>
      <c r="E69" s="17" t="s">
        <v>98</v>
      </c>
      <c r="F69" s="18" t="s">
        <v>7</v>
      </c>
      <c r="G69" s="19" t="s">
        <v>18</v>
      </c>
      <c r="H69" s="20" t="s">
        <v>102</v>
      </c>
      <c r="I69" s="18" t="s">
        <v>27</v>
      </c>
      <c r="J69" s="21" t="s">
        <v>14</v>
      </c>
      <c r="K69" s="21"/>
      <c r="L69" s="21"/>
      <c r="M69" s="21"/>
    </row>
    <row r="70" spans="1:13" x14ac:dyDescent="0.25">
      <c r="A70" t="s">
        <v>15</v>
      </c>
      <c r="B70" s="16" t="s">
        <v>18</v>
      </c>
      <c r="C70" t="s">
        <v>10</v>
      </c>
      <c r="D70" t="str">
        <f t="shared" si="1"/>
        <v>MOON-Virgo-Libra</v>
      </c>
      <c r="E70" s="17" t="s">
        <v>100</v>
      </c>
      <c r="F70" s="18" t="s">
        <v>29</v>
      </c>
      <c r="G70" s="19" t="s">
        <v>18</v>
      </c>
      <c r="H70" s="20" t="s">
        <v>104</v>
      </c>
      <c r="I70" s="18" t="s">
        <v>25</v>
      </c>
      <c r="J70" s="21" t="s">
        <v>14</v>
      </c>
      <c r="K70" s="21"/>
      <c r="L70" s="21"/>
      <c r="M70" s="21"/>
    </row>
    <row r="71" spans="1:13" x14ac:dyDescent="0.25">
      <c r="A71" t="s">
        <v>15</v>
      </c>
      <c r="B71" s="16" t="s">
        <v>18</v>
      </c>
      <c r="C71" t="s">
        <v>21</v>
      </c>
      <c r="D71" t="str">
        <f t="shared" si="1"/>
        <v>MOON-Virgo-Scorpio</v>
      </c>
      <c r="E71" s="17" t="s">
        <v>102</v>
      </c>
      <c r="F71" s="18" t="s">
        <v>27</v>
      </c>
      <c r="G71" s="19" t="s">
        <v>18</v>
      </c>
      <c r="H71" s="20" t="s">
        <v>105</v>
      </c>
      <c r="I71" s="18" t="s">
        <v>23</v>
      </c>
      <c r="J71" s="21" t="s">
        <v>14</v>
      </c>
      <c r="K71" s="21"/>
      <c r="L71" s="21"/>
      <c r="M71" s="21"/>
    </row>
    <row r="72" spans="1:13" x14ac:dyDescent="0.25">
      <c r="A72" t="s">
        <v>15</v>
      </c>
      <c r="B72" s="16" t="s">
        <v>18</v>
      </c>
      <c r="C72" t="s">
        <v>23</v>
      </c>
      <c r="D72" t="str">
        <f t="shared" si="1"/>
        <v>MOON-Virgo-Sagittarius</v>
      </c>
      <c r="E72" s="17" t="s">
        <v>104</v>
      </c>
      <c r="F72" s="18" t="s">
        <v>25</v>
      </c>
      <c r="G72" s="19" t="s">
        <v>18</v>
      </c>
      <c r="H72" s="20" t="s">
        <v>106</v>
      </c>
      <c r="I72" s="18" t="s">
        <v>21</v>
      </c>
      <c r="J72" s="21" t="s">
        <v>14</v>
      </c>
      <c r="K72" s="21"/>
      <c r="L72" s="21"/>
      <c r="M72" s="21"/>
    </row>
    <row r="73" spans="1:13" x14ac:dyDescent="0.25">
      <c r="A73" t="s">
        <v>15</v>
      </c>
      <c r="B73" s="16" t="s">
        <v>18</v>
      </c>
      <c r="C73" t="s">
        <v>25</v>
      </c>
      <c r="D73" t="str">
        <f t="shared" si="1"/>
        <v>MOON-Virgo-Capricorn</v>
      </c>
      <c r="E73" s="17" t="s">
        <v>105</v>
      </c>
      <c r="F73" s="18" t="s">
        <v>23</v>
      </c>
      <c r="G73" s="19" t="s">
        <v>18</v>
      </c>
      <c r="H73" s="20" t="s">
        <v>107</v>
      </c>
      <c r="I73" s="18" t="s">
        <v>10</v>
      </c>
      <c r="J73" s="21" t="s">
        <v>14</v>
      </c>
      <c r="K73" s="21"/>
      <c r="L73" s="21"/>
      <c r="M73" s="21"/>
    </row>
    <row r="74" spans="1:13" x14ac:dyDescent="0.25">
      <c r="A74" t="s">
        <v>15</v>
      </c>
      <c r="B74" s="16" t="s">
        <v>18</v>
      </c>
      <c r="C74" t="s">
        <v>27</v>
      </c>
      <c r="D74" t="str">
        <f t="shared" si="1"/>
        <v>MOON-Virgo-Aquarius</v>
      </c>
      <c r="E74" s="17" t="s">
        <v>106</v>
      </c>
      <c r="F74" s="18" t="s">
        <v>21</v>
      </c>
      <c r="G74" s="19" t="s">
        <v>18</v>
      </c>
      <c r="H74" s="20" t="s">
        <v>108</v>
      </c>
      <c r="I74" s="18" t="s">
        <v>18</v>
      </c>
      <c r="J74" s="21" t="s">
        <v>14</v>
      </c>
      <c r="K74" s="21"/>
      <c r="L74" s="21"/>
      <c r="M74" s="21"/>
    </row>
    <row r="75" spans="1:13" x14ac:dyDescent="0.25">
      <c r="A75" t="s">
        <v>15</v>
      </c>
      <c r="B75" s="16" t="s">
        <v>18</v>
      </c>
      <c r="C75" t="s">
        <v>29</v>
      </c>
      <c r="D75" t="str">
        <f t="shared" si="1"/>
        <v>MOON-Virgo-Pisces</v>
      </c>
      <c r="E75" s="17" t="s">
        <v>107</v>
      </c>
      <c r="F75" s="18" t="s">
        <v>10</v>
      </c>
      <c r="G75" s="19" t="s">
        <v>18</v>
      </c>
      <c r="H75" s="20" t="s">
        <v>109</v>
      </c>
      <c r="I75" s="18" t="s">
        <v>16</v>
      </c>
      <c r="J75" s="21" t="s">
        <v>14</v>
      </c>
      <c r="K75" s="21"/>
      <c r="L75" s="21"/>
      <c r="M75" s="21"/>
    </row>
    <row r="76" spans="1:13" x14ac:dyDescent="0.25">
      <c r="A76" t="s">
        <v>15</v>
      </c>
      <c r="B76" s="16" t="s">
        <v>10</v>
      </c>
      <c r="C76" t="s">
        <v>7</v>
      </c>
      <c r="D76" t="str">
        <f t="shared" si="1"/>
        <v>MOON-Libra-Aries</v>
      </c>
      <c r="E76" s="17" t="s">
        <v>107</v>
      </c>
      <c r="F76" s="18" t="s">
        <v>10</v>
      </c>
      <c r="G76" s="19" t="s">
        <v>10</v>
      </c>
      <c r="H76" s="20" t="s">
        <v>99</v>
      </c>
      <c r="I76" s="18" t="s">
        <v>14</v>
      </c>
      <c r="J76" s="21" t="s">
        <v>14</v>
      </c>
      <c r="K76" s="21"/>
      <c r="L76" s="21"/>
      <c r="M76" s="21"/>
    </row>
    <row r="77" spans="1:13" x14ac:dyDescent="0.25">
      <c r="A77" t="s">
        <v>15</v>
      </c>
      <c r="B77" s="16" t="s">
        <v>10</v>
      </c>
      <c r="C77" t="s">
        <v>9</v>
      </c>
      <c r="D77" t="str">
        <f t="shared" si="1"/>
        <v>MOON-Libra-Taurus</v>
      </c>
      <c r="E77" s="17" t="s">
        <v>108</v>
      </c>
      <c r="F77" s="18" t="s">
        <v>18</v>
      </c>
      <c r="G77" s="19" t="s">
        <v>10</v>
      </c>
      <c r="H77" s="20" t="s">
        <v>101</v>
      </c>
      <c r="I77" s="18" t="s">
        <v>12</v>
      </c>
      <c r="J77" s="21" t="s">
        <v>14</v>
      </c>
      <c r="K77" s="21"/>
      <c r="L77" s="21"/>
      <c r="M77" s="21"/>
    </row>
    <row r="78" spans="1:13" x14ac:dyDescent="0.25">
      <c r="A78" t="s">
        <v>15</v>
      </c>
      <c r="B78" s="16" t="s">
        <v>10</v>
      </c>
      <c r="C78" t="s">
        <v>12</v>
      </c>
      <c r="D78" t="str">
        <f t="shared" si="1"/>
        <v>MOON-Libra-Gemini</v>
      </c>
      <c r="E78" s="17" t="s">
        <v>109</v>
      </c>
      <c r="F78" s="18" t="s">
        <v>16</v>
      </c>
      <c r="G78" s="19" t="s">
        <v>10</v>
      </c>
      <c r="H78" s="20" t="s">
        <v>103</v>
      </c>
      <c r="I78" s="18" t="s">
        <v>9</v>
      </c>
      <c r="J78" s="21" t="s">
        <v>14</v>
      </c>
      <c r="K78" s="21"/>
      <c r="L78" s="21"/>
      <c r="M78" s="21"/>
    </row>
    <row r="79" spans="1:13" x14ac:dyDescent="0.25">
      <c r="A79" t="s">
        <v>15</v>
      </c>
      <c r="B79" s="16" t="s">
        <v>10</v>
      </c>
      <c r="C79" t="s">
        <v>14</v>
      </c>
      <c r="D79" t="str">
        <f t="shared" si="1"/>
        <v>MOON-Libra-Cancer</v>
      </c>
      <c r="E79" s="17" t="s">
        <v>99</v>
      </c>
      <c r="F79" s="18" t="s">
        <v>14</v>
      </c>
      <c r="G79" s="19" t="s">
        <v>10</v>
      </c>
      <c r="H79" s="20" t="s">
        <v>98</v>
      </c>
      <c r="I79" s="18" t="s">
        <v>7</v>
      </c>
      <c r="J79" s="21" t="s">
        <v>14</v>
      </c>
      <c r="K79" s="21"/>
      <c r="L79" s="21"/>
      <c r="M79" s="21"/>
    </row>
    <row r="80" spans="1:13" x14ac:dyDescent="0.25">
      <c r="A80" t="s">
        <v>15</v>
      </c>
      <c r="B80" s="16" t="s">
        <v>10</v>
      </c>
      <c r="C80" t="s">
        <v>16</v>
      </c>
      <c r="D80" t="str">
        <f t="shared" si="1"/>
        <v>MOON-Libra-Leo</v>
      </c>
      <c r="E80" s="17" t="s">
        <v>101</v>
      </c>
      <c r="F80" s="18" t="s">
        <v>12</v>
      </c>
      <c r="G80" s="19" t="s">
        <v>10</v>
      </c>
      <c r="H80" s="20" t="s">
        <v>100</v>
      </c>
      <c r="I80" s="18" t="s">
        <v>29</v>
      </c>
      <c r="J80" s="21" t="s">
        <v>14</v>
      </c>
      <c r="K80" s="21"/>
      <c r="L80" s="21"/>
      <c r="M80" s="21"/>
    </row>
    <row r="81" spans="1:13" x14ac:dyDescent="0.25">
      <c r="A81" t="s">
        <v>15</v>
      </c>
      <c r="B81" s="16" t="s">
        <v>10</v>
      </c>
      <c r="C81" t="s">
        <v>18</v>
      </c>
      <c r="D81" t="str">
        <f t="shared" si="1"/>
        <v>MOON-Libra-Virgo</v>
      </c>
      <c r="E81" s="17" t="s">
        <v>103</v>
      </c>
      <c r="F81" s="18" t="s">
        <v>9</v>
      </c>
      <c r="G81" s="19" t="s">
        <v>10</v>
      </c>
      <c r="H81" s="20" t="s">
        <v>102</v>
      </c>
      <c r="I81" s="18" t="s">
        <v>27</v>
      </c>
      <c r="J81" s="21" t="s">
        <v>14</v>
      </c>
      <c r="K81" s="21"/>
      <c r="L81" s="21"/>
      <c r="M81" s="21"/>
    </row>
    <row r="82" spans="1:13" x14ac:dyDescent="0.25">
      <c r="A82" t="s">
        <v>15</v>
      </c>
      <c r="B82" s="16" t="s">
        <v>10</v>
      </c>
      <c r="C82" t="s">
        <v>10</v>
      </c>
      <c r="D82" t="str">
        <f t="shared" si="1"/>
        <v>MOON-Libra-Libra</v>
      </c>
      <c r="E82" s="17" t="s">
        <v>98</v>
      </c>
      <c r="F82" s="18" t="s">
        <v>7</v>
      </c>
      <c r="G82" s="19" t="s">
        <v>10</v>
      </c>
      <c r="H82" s="20" t="s">
        <v>104</v>
      </c>
      <c r="I82" s="18" t="s">
        <v>25</v>
      </c>
      <c r="J82" s="21" t="s">
        <v>14</v>
      </c>
      <c r="K82" s="21"/>
      <c r="L82" s="21"/>
      <c r="M82" s="21"/>
    </row>
    <row r="83" spans="1:13" x14ac:dyDescent="0.25">
      <c r="A83" t="s">
        <v>15</v>
      </c>
      <c r="B83" s="16" t="s">
        <v>10</v>
      </c>
      <c r="C83" t="s">
        <v>21</v>
      </c>
      <c r="D83" t="str">
        <f t="shared" si="1"/>
        <v>MOON-Libra-Scorpio</v>
      </c>
      <c r="E83" s="17" t="s">
        <v>100</v>
      </c>
      <c r="F83" s="18" t="s">
        <v>29</v>
      </c>
      <c r="G83" s="19" t="s">
        <v>10</v>
      </c>
      <c r="H83" s="20" t="s">
        <v>105</v>
      </c>
      <c r="I83" s="18" t="s">
        <v>23</v>
      </c>
      <c r="J83" s="21" t="s">
        <v>14</v>
      </c>
      <c r="K83" s="21"/>
      <c r="L83" s="21"/>
      <c r="M83" s="21"/>
    </row>
    <row r="84" spans="1:13" x14ac:dyDescent="0.25">
      <c r="A84" t="s">
        <v>15</v>
      </c>
      <c r="B84" s="16" t="s">
        <v>10</v>
      </c>
      <c r="C84" t="s">
        <v>23</v>
      </c>
      <c r="D84" t="str">
        <f t="shared" si="1"/>
        <v>MOON-Libra-Sagittarius</v>
      </c>
      <c r="E84" s="17" t="s">
        <v>102</v>
      </c>
      <c r="F84" s="18" t="s">
        <v>27</v>
      </c>
      <c r="G84" s="19" t="s">
        <v>10</v>
      </c>
      <c r="H84" s="20" t="s">
        <v>106</v>
      </c>
      <c r="I84" s="18" t="s">
        <v>21</v>
      </c>
      <c r="J84" s="21" t="s">
        <v>14</v>
      </c>
      <c r="K84" s="21"/>
      <c r="L84" s="21"/>
      <c r="M84" s="21"/>
    </row>
    <row r="85" spans="1:13" x14ac:dyDescent="0.25">
      <c r="A85" t="s">
        <v>15</v>
      </c>
      <c r="B85" s="16" t="s">
        <v>10</v>
      </c>
      <c r="C85" t="s">
        <v>25</v>
      </c>
      <c r="D85" t="str">
        <f t="shared" si="1"/>
        <v>MOON-Libra-Capricorn</v>
      </c>
      <c r="E85" s="17" t="s">
        <v>104</v>
      </c>
      <c r="F85" s="18" t="s">
        <v>25</v>
      </c>
      <c r="G85" s="19" t="s">
        <v>10</v>
      </c>
      <c r="H85" s="20" t="s">
        <v>107</v>
      </c>
      <c r="I85" s="18" t="s">
        <v>10</v>
      </c>
      <c r="J85" s="21" t="s">
        <v>14</v>
      </c>
      <c r="K85" s="21"/>
      <c r="L85" s="21"/>
      <c r="M85" s="21"/>
    </row>
    <row r="86" spans="1:13" x14ac:dyDescent="0.25">
      <c r="A86" t="s">
        <v>15</v>
      </c>
      <c r="B86" s="16" t="s">
        <v>10</v>
      </c>
      <c r="C86" t="s">
        <v>27</v>
      </c>
      <c r="D86" t="str">
        <f t="shared" si="1"/>
        <v>MOON-Libra-Aquarius</v>
      </c>
      <c r="E86" s="17" t="s">
        <v>105</v>
      </c>
      <c r="F86" s="18" t="s">
        <v>23</v>
      </c>
      <c r="G86" s="19" t="s">
        <v>10</v>
      </c>
      <c r="H86" s="20" t="s">
        <v>108</v>
      </c>
      <c r="I86" s="18" t="s">
        <v>18</v>
      </c>
      <c r="J86" s="21" t="s">
        <v>14</v>
      </c>
      <c r="K86" s="21"/>
      <c r="L86" s="21"/>
      <c r="M86" s="21"/>
    </row>
    <row r="87" spans="1:13" x14ac:dyDescent="0.25">
      <c r="A87" t="s">
        <v>15</v>
      </c>
      <c r="B87" s="16" t="s">
        <v>10</v>
      </c>
      <c r="C87" t="s">
        <v>29</v>
      </c>
      <c r="D87" t="str">
        <f t="shared" si="1"/>
        <v>MOON-Libra-Pisces</v>
      </c>
      <c r="E87" s="17" t="s">
        <v>106</v>
      </c>
      <c r="F87" s="18" t="s">
        <v>21</v>
      </c>
      <c r="G87" s="19" t="s">
        <v>10</v>
      </c>
      <c r="H87" s="20" t="s">
        <v>109</v>
      </c>
      <c r="I87" s="18" t="s">
        <v>16</v>
      </c>
      <c r="J87" s="21" t="s">
        <v>14</v>
      </c>
      <c r="K87" s="21"/>
      <c r="L87" s="21"/>
      <c r="M87" s="21"/>
    </row>
    <row r="88" spans="1:13" x14ac:dyDescent="0.25">
      <c r="A88" t="s">
        <v>15</v>
      </c>
      <c r="B88" s="16" t="s">
        <v>21</v>
      </c>
      <c r="C88" t="s">
        <v>7</v>
      </c>
      <c r="D88" t="str">
        <f t="shared" si="1"/>
        <v>MOON-Scorpio-Aries</v>
      </c>
      <c r="E88" s="17" t="s">
        <v>106</v>
      </c>
      <c r="F88" s="18" t="s">
        <v>21</v>
      </c>
      <c r="G88" s="19" t="s">
        <v>21</v>
      </c>
      <c r="H88" s="20" t="s">
        <v>99</v>
      </c>
      <c r="I88" s="18" t="s">
        <v>14</v>
      </c>
      <c r="J88" s="21" t="s">
        <v>14</v>
      </c>
      <c r="K88" s="21"/>
      <c r="L88" s="21"/>
      <c r="M88" s="21"/>
    </row>
    <row r="89" spans="1:13" x14ac:dyDescent="0.25">
      <c r="A89" t="s">
        <v>15</v>
      </c>
      <c r="B89" s="16" t="s">
        <v>21</v>
      </c>
      <c r="C89" t="s">
        <v>9</v>
      </c>
      <c r="D89" t="str">
        <f t="shared" si="1"/>
        <v>MOON-Scorpio-Taurus</v>
      </c>
      <c r="E89" s="17" t="s">
        <v>107</v>
      </c>
      <c r="F89" s="18" t="s">
        <v>10</v>
      </c>
      <c r="G89" s="19" t="s">
        <v>21</v>
      </c>
      <c r="H89" s="20" t="s">
        <v>101</v>
      </c>
      <c r="I89" s="18" t="s">
        <v>12</v>
      </c>
      <c r="J89" s="21" t="s">
        <v>14</v>
      </c>
      <c r="K89" s="21"/>
      <c r="L89" s="21"/>
      <c r="M89" s="21"/>
    </row>
    <row r="90" spans="1:13" x14ac:dyDescent="0.25">
      <c r="A90" t="s">
        <v>15</v>
      </c>
      <c r="B90" s="16" t="s">
        <v>21</v>
      </c>
      <c r="C90" t="s">
        <v>12</v>
      </c>
      <c r="D90" t="str">
        <f t="shared" si="1"/>
        <v>MOON-Scorpio-Gemini</v>
      </c>
      <c r="E90" s="17" t="s">
        <v>108</v>
      </c>
      <c r="F90" s="18" t="s">
        <v>18</v>
      </c>
      <c r="G90" s="19" t="s">
        <v>21</v>
      </c>
      <c r="H90" s="20" t="s">
        <v>103</v>
      </c>
      <c r="I90" s="18" t="s">
        <v>9</v>
      </c>
      <c r="J90" s="21" t="s">
        <v>14</v>
      </c>
      <c r="K90" s="21"/>
      <c r="L90" s="21"/>
      <c r="M90" s="21"/>
    </row>
    <row r="91" spans="1:13" x14ac:dyDescent="0.25">
      <c r="A91" t="s">
        <v>15</v>
      </c>
      <c r="B91" s="16" t="s">
        <v>21</v>
      </c>
      <c r="C91" t="s">
        <v>14</v>
      </c>
      <c r="D91" t="str">
        <f t="shared" si="1"/>
        <v>MOON-Scorpio-Cancer</v>
      </c>
      <c r="E91" s="17" t="s">
        <v>109</v>
      </c>
      <c r="F91" s="18" t="s">
        <v>16</v>
      </c>
      <c r="G91" s="19" t="s">
        <v>21</v>
      </c>
      <c r="H91" s="20" t="s">
        <v>98</v>
      </c>
      <c r="I91" s="18" t="s">
        <v>7</v>
      </c>
      <c r="J91" s="21" t="s">
        <v>14</v>
      </c>
      <c r="K91" s="21"/>
      <c r="L91" s="21"/>
      <c r="M91" s="21"/>
    </row>
    <row r="92" spans="1:13" x14ac:dyDescent="0.25">
      <c r="A92" t="s">
        <v>15</v>
      </c>
      <c r="B92" s="16" t="s">
        <v>21</v>
      </c>
      <c r="C92" t="s">
        <v>16</v>
      </c>
      <c r="D92" t="str">
        <f t="shared" si="1"/>
        <v>MOON-Scorpio-Leo</v>
      </c>
      <c r="E92" s="17" t="s">
        <v>99</v>
      </c>
      <c r="F92" s="18" t="s">
        <v>14</v>
      </c>
      <c r="G92" s="19" t="s">
        <v>21</v>
      </c>
      <c r="H92" s="20" t="s">
        <v>100</v>
      </c>
      <c r="I92" s="18" t="s">
        <v>29</v>
      </c>
      <c r="J92" s="21" t="s">
        <v>14</v>
      </c>
      <c r="K92" s="21"/>
      <c r="L92" s="21"/>
      <c r="M92" s="21"/>
    </row>
    <row r="93" spans="1:13" x14ac:dyDescent="0.25">
      <c r="A93" t="s">
        <v>15</v>
      </c>
      <c r="B93" s="16" t="s">
        <v>21</v>
      </c>
      <c r="C93" t="s">
        <v>18</v>
      </c>
      <c r="D93" t="str">
        <f t="shared" si="1"/>
        <v>MOON-Scorpio-Virgo</v>
      </c>
      <c r="E93" s="17" t="s">
        <v>101</v>
      </c>
      <c r="F93" s="18" t="s">
        <v>12</v>
      </c>
      <c r="G93" s="19" t="s">
        <v>21</v>
      </c>
      <c r="H93" s="20" t="s">
        <v>102</v>
      </c>
      <c r="I93" s="18" t="s">
        <v>27</v>
      </c>
      <c r="J93" s="21" t="s">
        <v>14</v>
      </c>
      <c r="K93" s="21"/>
      <c r="L93" s="21"/>
      <c r="M93" s="21"/>
    </row>
    <row r="94" spans="1:13" x14ac:dyDescent="0.25">
      <c r="A94" t="s">
        <v>15</v>
      </c>
      <c r="B94" s="16" t="s">
        <v>21</v>
      </c>
      <c r="C94" t="s">
        <v>10</v>
      </c>
      <c r="D94" t="str">
        <f t="shared" si="1"/>
        <v>MOON-Scorpio-Libra</v>
      </c>
      <c r="E94" s="17" t="s">
        <v>103</v>
      </c>
      <c r="F94" s="18" t="s">
        <v>9</v>
      </c>
      <c r="G94" s="19" t="s">
        <v>21</v>
      </c>
      <c r="H94" s="20" t="s">
        <v>104</v>
      </c>
      <c r="I94" s="18" t="s">
        <v>25</v>
      </c>
      <c r="J94" s="21" t="s">
        <v>14</v>
      </c>
      <c r="K94" s="21"/>
      <c r="L94" s="21"/>
      <c r="M94" s="21"/>
    </row>
    <row r="95" spans="1:13" x14ac:dyDescent="0.25">
      <c r="A95" t="s">
        <v>15</v>
      </c>
      <c r="B95" s="16" t="s">
        <v>21</v>
      </c>
      <c r="C95" t="s">
        <v>21</v>
      </c>
      <c r="D95" t="str">
        <f t="shared" si="1"/>
        <v>MOON-Scorpio-Scorpio</v>
      </c>
      <c r="E95" s="17" t="s">
        <v>98</v>
      </c>
      <c r="F95" s="18" t="s">
        <v>7</v>
      </c>
      <c r="G95" s="19" t="s">
        <v>21</v>
      </c>
      <c r="H95" s="20" t="s">
        <v>105</v>
      </c>
      <c r="I95" s="18" t="s">
        <v>23</v>
      </c>
      <c r="J95" s="21" t="s">
        <v>14</v>
      </c>
      <c r="K95" s="21"/>
      <c r="L95" s="21"/>
      <c r="M95" s="21"/>
    </row>
    <row r="96" spans="1:13" x14ac:dyDescent="0.25">
      <c r="A96" t="s">
        <v>15</v>
      </c>
      <c r="B96" s="16" t="s">
        <v>21</v>
      </c>
      <c r="C96" t="s">
        <v>23</v>
      </c>
      <c r="D96" t="str">
        <f t="shared" si="1"/>
        <v>MOON-Scorpio-Sagittarius</v>
      </c>
      <c r="E96" s="17" t="s">
        <v>100</v>
      </c>
      <c r="F96" s="18" t="s">
        <v>29</v>
      </c>
      <c r="G96" s="19" t="s">
        <v>21</v>
      </c>
      <c r="H96" s="20" t="s">
        <v>106</v>
      </c>
      <c r="I96" s="18" t="s">
        <v>21</v>
      </c>
      <c r="J96" s="21" t="s">
        <v>14</v>
      </c>
      <c r="K96" s="21"/>
      <c r="L96" s="21"/>
      <c r="M96" s="21"/>
    </row>
    <row r="97" spans="1:13" x14ac:dyDescent="0.25">
      <c r="A97" t="s">
        <v>15</v>
      </c>
      <c r="B97" s="16" t="s">
        <v>21</v>
      </c>
      <c r="C97" t="s">
        <v>25</v>
      </c>
      <c r="D97" t="str">
        <f t="shared" si="1"/>
        <v>MOON-Scorpio-Capricorn</v>
      </c>
      <c r="E97" s="17" t="s">
        <v>102</v>
      </c>
      <c r="F97" s="18" t="s">
        <v>27</v>
      </c>
      <c r="G97" s="19" t="s">
        <v>21</v>
      </c>
      <c r="H97" s="20" t="s">
        <v>107</v>
      </c>
      <c r="I97" s="18" t="s">
        <v>10</v>
      </c>
      <c r="J97" s="21" t="s">
        <v>14</v>
      </c>
      <c r="K97" s="21"/>
      <c r="L97" s="21"/>
      <c r="M97" s="21"/>
    </row>
    <row r="98" spans="1:13" x14ac:dyDescent="0.25">
      <c r="A98" t="s">
        <v>15</v>
      </c>
      <c r="B98" s="16" t="s">
        <v>21</v>
      </c>
      <c r="C98" t="s">
        <v>27</v>
      </c>
      <c r="D98" t="str">
        <f t="shared" si="1"/>
        <v>MOON-Scorpio-Aquarius</v>
      </c>
      <c r="E98" s="17" t="s">
        <v>104</v>
      </c>
      <c r="F98" s="18" t="s">
        <v>25</v>
      </c>
      <c r="G98" s="19" t="s">
        <v>21</v>
      </c>
      <c r="H98" s="20" t="s">
        <v>108</v>
      </c>
      <c r="I98" s="18" t="s">
        <v>18</v>
      </c>
      <c r="J98" s="21" t="s">
        <v>14</v>
      </c>
      <c r="K98" s="21"/>
      <c r="L98" s="21"/>
      <c r="M98" s="21"/>
    </row>
    <row r="99" spans="1:13" x14ac:dyDescent="0.25">
      <c r="A99" t="s">
        <v>15</v>
      </c>
      <c r="B99" s="16" t="s">
        <v>21</v>
      </c>
      <c r="C99" t="s">
        <v>29</v>
      </c>
      <c r="D99" t="str">
        <f t="shared" si="1"/>
        <v>MOON-Scorpio-Pisces</v>
      </c>
      <c r="E99" s="17" t="s">
        <v>105</v>
      </c>
      <c r="F99" s="18" t="s">
        <v>23</v>
      </c>
      <c r="G99" s="19" t="s">
        <v>21</v>
      </c>
      <c r="H99" s="20" t="s">
        <v>109</v>
      </c>
      <c r="I99" s="18" t="s">
        <v>16</v>
      </c>
      <c r="J99" s="21" t="s">
        <v>14</v>
      </c>
      <c r="K99" s="21"/>
      <c r="L99" s="21"/>
      <c r="M99" s="21"/>
    </row>
    <row r="100" spans="1:13" x14ac:dyDescent="0.25">
      <c r="A100" t="s">
        <v>15</v>
      </c>
      <c r="B100" s="16" t="s">
        <v>23</v>
      </c>
      <c r="C100" t="s">
        <v>7</v>
      </c>
      <c r="D100" t="str">
        <f t="shared" si="1"/>
        <v>MOON-Sagittarius-Aries</v>
      </c>
      <c r="E100" s="17" t="s">
        <v>105</v>
      </c>
      <c r="F100" s="18" t="s">
        <v>23</v>
      </c>
      <c r="G100" s="19" t="s">
        <v>23</v>
      </c>
      <c r="H100" s="20" t="s">
        <v>99</v>
      </c>
      <c r="I100" s="18" t="s">
        <v>14</v>
      </c>
      <c r="J100" s="21" t="s">
        <v>14</v>
      </c>
      <c r="K100" s="21"/>
      <c r="L100" s="21"/>
      <c r="M100" s="21"/>
    </row>
    <row r="101" spans="1:13" x14ac:dyDescent="0.25">
      <c r="A101" t="s">
        <v>15</v>
      </c>
      <c r="B101" s="16" t="s">
        <v>23</v>
      </c>
      <c r="C101" t="s">
        <v>9</v>
      </c>
      <c r="D101" t="str">
        <f t="shared" si="1"/>
        <v>MOON-Sagittarius-Taurus</v>
      </c>
      <c r="E101" s="17" t="s">
        <v>106</v>
      </c>
      <c r="F101" s="18" t="s">
        <v>21</v>
      </c>
      <c r="G101" s="19" t="s">
        <v>23</v>
      </c>
      <c r="H101" s="20" t="s">
        <v>101</v>
      </c>
      <c r="I101" s="18" t="s">
        <v>12</v>
      </c>
      <c r="J101" s="21" t="s">
        <v>14</v>
      </c>
      <c r="K101" s="21"/>
      <c r="L101" s="21"/>
      <c r="M101" s="21"/>
    </row>
    <row r="102" spans="1:13" x14ac:dyDescent="0.25">
      <c r="A102" t="s">
        <v>15</v>
      </c>
      <c r="B102" s="16" t="s">
        <v>23</v>
      </c>
      <c r="C102" t="s">
        <v>12</v>
      </c>
      <c r="D102" t="str">
        <f t="shared" si="1"/>
        <v>MOON-Sagittarius-Gemini</v>
      </c>
      <c r="E102" s="17" t="s">
        <v>107</v>
      </c>
      <c r="F102" s="18" t="s">
        <v>10</v>
      </c>
      <c r="G102" s="19" t="s">
        <v>23</v>
      </c>
      <c r="H102" s="20" t="s">
        <v>103</v>
      </c>
      <c r="I102" s="18" t="s">
        <v>9</v>
      </c>
      <c r="J102" s="21" t="s">
        <v>14</v>
      </c>
      <c r="K102" s="21"/>
      <c r="L102" s="21"/>
      <c r="M102" s="21"/>
    </row>
    <row r="103" spans="1:13" x14ac:dyDescent="0.25">
      <c r="A103" t="s">
        <v>15</v>
      </c>
      <c r="B103" s="16" t="s">
        <v>23</v>
      </c>
      <c r="C103" t="s">
        <v>14</v>
      </c>
      <c r="D103" t="str">
        <f t="shared" si="1"/>
        <v>MOON-Sagittarius-Cancer</v>
      </c>
      <c r="E103" s="17" t="s">
        <v>108</v>
      </c>
      <c r="F103" s="18" t="s">
        <v>18</v>
      </c>
      <c r="G103" s="19" t="s">
        <v>23</v>
      </c>
      <c r="H103" s="20" t="s">
        <v>98</v>
      </c>
      <c r="I103" s="18" t="s">
        <v>7</v>
      </c>
      <c r="J103" s="21" t="s">
        <v>14</v>
      </c>
      <c r="K103" s="21"/>
      <c r="L103" s="21"/>
      <c r="M103" s="21"/>
    </row>
    <row r="104" spans="1:13" x14ac:dyDescent="0.25">
      <c r="A104" t="s">
        <v>15</v>
      </c>
      <c r="B104" s="16" t="s">
        <v>23</v>
      </c>
      <c r="C104" t="s">
        <v>16</v>
      </c>
      <c r="D104" t="str">
        <f t="shared" si="1"/>
        <v>MOON-Sagittarius-Leo</v>
      </c>
      <c r="E104" s="17" t="s">
        <v>109</v>
      </c>
      <c r="F104" s="18" t="s">
        <v>16</v>
      </c>
      <c r="G104" s="19" t="s">
        <v>23</v>
      </c>
      <c r="H104" s="20" t="s">
        <v>100</v>
      </c>
      <c r="I104" s="18" t="s">
        <v>29</v>
      </c>
      <c r="J104" s="21" t="s">
        <v>14</v>
      </c>
      <c r="K104" s="21"/>
      <c r="L104" s="21"/>
      <c r="M104" s="21"/>
    </row>
    <row r="105" spans="1:13" x14ac:dyDescent="0.25">
      <c r="A105" t="s">
        <v>15</v>
      </c>
      <c r="B105" s="16" t="s">
        <v>23</v>
      </c>
      <c r="C105" t="s">
        <v>18</v>
      </c>
      <c r="D105" t="str">
        <f t="shared" si="1"/>
        <v>MOON-Sagittarius-Virgo</v>
      </c>
      <c r="E105" s="17" t="s">
        <v>99</v>
      </c>
      <c r="F105" s="18" t="s">
        <v>14</v>
      </c>
      <c r="G105" s="19" t="s">
        <v>23</v>
      </c>
      <c r="H105" s="20" t="s">
        <v>102</v>
      </c>
      <c r="I105" s="18" t="s">
        <v>27</v>
      </c>
      <c r="J105" s="21" t="s">
        <v>14</v>
      </c>
      <c r="K105" s="21"/>
      <c r="L105" s="21"/>
      <c r="M105" s="21"/>
    </row>
    <row r="106" spans="1:13" x14ac:dyDescent="0.25">
      <c r="A106" t="s">
        <v>15</v>
      </c>
      <c r="B106" s="16" t="s">
        <v>23</v>
      </c>
      <c r="C106" t="s">
        <v>10</v>
      </c>
      <c r="D106" t="str">
        <f t="shared" si="1"/>
        <v>MOON-Sagittarius-Libra</v>
      </c>
      <c r="E106" s="17" t="s">
        <v>101</v>
      </c>
      <c r="F106" s="18" t="s">
        <v>12</v>
      </c>
      <c r="G106" s="19" t="s">
        <v>23</v>
      </c>
      <c r="H106" s="20" t="s">
        <v>104</v>
      </c>
      <c r="I106" s="18" t="s">
        <v>25</v>
      </c>
      <c r="J106" s="21" t="s">
        <v>14</v>
      </c>
      <c r="K106" s="21"/>
      <c r="L106" s="21"/>
      <c r="M106" s="21"/>
    </row>
    <row r="107" spans="1:13" x14ac:dyDescent="0.25">
      <c r="A107" t="s">
        <v>15</v>
      </c>
      <c r="B107" s="16" t="s">
        <v>23</v>
      </c>
      <c r="C107" t="s">
        <v>21</v>
      </c>
      <c r="D107" t="str">
        <f t="shared" si="1"/>
        <v>MOON-Sagittarius-Scorpio</v>
      </c>
      <c r="E107" s="17" t="s">
        <v>103</v>
      </c>
      <c r="F107" s="18" t="s">
        <v>9</v>
      </c>
      <c r="G107" s="19" t="s">
        <v>23</v>
      </c>
      <c r="H107" s="20" t="s">
        <v>105</v>
      </c>
      <c r="I107" s="18" t="s">
        <v>23</v>
      </c>
      <c r="J107" s="21" t="s">
        <v>14</v>
      </c>
      <c r="K107" s="21"/>
      <c r="L107" s="21"/>
      <c r="M107" s="21"/>
    </row>
    <row r="108" spans="1:13" x14ac:dyDescent="0.25">
      <c r="A108" t="s">
        <v>15</v>
      </c>
      <c r="B108" s="16" t="s">
        <v>23</v>
      </c>
      <c r="C108" t="s">
        <v>23</v>
      </c>
      <c r="D108" t="str">
        <f t="shared" si="1"/>
        <v>MOON-Sagittarius-Sagittarius</v>
      </c>
      <c r="E108" s="17" t="s">
        <v>98</v>
      </c>
      <c r="F108" s="18" t="s">
        <v>7</v>
      </c>
      <c r="G108" s="19" t="s">
        <v>23</v>
      </c>
      <c r="H108" s="20" t="s">
        <v>106</v>
      </c>
      <c r="I108" s="18" t="s">
        <v>21</v>
      </c>
      <c r="J108" s="21" t="s">
        <v>14</v>
      </c>
      <c r="K108" s="21"/>
      <c r="L108" s="21"/>
      <c r="M108" s="21"/>
    </row>
    <row r="109" spans="1:13" x14ac:dyDescent="0.25">
      <c r="A109" t="s">
        <v>15</v>
      </c>
      <c r="B109" s="16" t="s">
        <v>23</v>
      </c>
      <c r="C109" t="s">
        <v>25</v>
      </c>
      <c r="D109" t="str">
        <f t="shared" si="1"/>
        <v>MOON-Sagittarius-Capricorn</v>
      </c>
      <c r="E109" s="17" t="s">
        <v>100</v>
      </c>
      <c r="F109" s="18" t="s">
        <v>29</v>
      </c>
      <c r="G109" s="19" t="s">
        <v>23</v>
      </c>
      <c r="H109" s="20" t="s">
        <v>107</v>
      </c>
      <c r="I109" s="18" t="s">
        <v>10</v>
      </c>
      <c r="J109" s="21" t="s">
        <v>14</v>
      </c>
      <c r="K109" s="21"/>
      <c r="L109" s="21"/>
      <c r="M109" s="21"/>
    </row>
    <row r="110" spans="1:13" x14ac:dyDescent="0.25">
      <c r="A110" t="s">
        <v>15</v>
      </c>
      <c r="B110" s="16" t="s">
        <v>23</v>
      </c>
      <c r="C110" t="s">
        <v>27</v>
      </c>
      <c r="D110" t="str">
        <f t="shared" si="1"/>
        <v>MOON-Sagittarius-Aquarius</v>
      </c>
      <c r="E110" s="17" t="s">
        <v>102</v>
      </c>
      <c r="F110" s="18" t="s">
        <v>27</v>
      </c>
      <c r="G110" s="19" t="s">
        <v>23</v>
      </c>
      <c r="H110" s="20" t="s">
        <v>108</v>
      </c>
      <c r="I110" s="18" t="s">
        <v>18</v>
      </c>
      <c r="J110" s="21" t="s">
        <v>14</v>
      </c>
      <c r="K110" s="21"/>
      <c r="L110" s="21"/>
      <c r="M110" s="21"/>
    </row>
    <row r="111" spans="1:13" x14ac:dyDescent="0.25">
      <c r="A111" t="s">
        <v>15</v>
      </c>
      <c r="B111" s="16" t="s">
        <v>23</v>
      </c>
      <c r="C111" t="s">
        <v>29</v>
      </c>
      <c r="D111" t="str">
        <f t="shared" si="1"/>
        <v>MOON-Sagittarius-Pisces</v>
      </c>
      <c r="E111" s="17" t="s">
        <v>104</v>
      </c>
      <c r="F111" s="18" t="s">
        <v>25</v>
      </c>
      <c r="G111" s="19" t="s">
        <v>23</v>
      </c>
      <c r="H111" s="20" t="s">
        <v>109</v>
      </c>
      <c r="I111" s="18" t="s">
        <v>16</v>
      </c>
      <c r="J111" s="21" t="s">
        <v>14</v>
      </c>
      <c r="K111" s="21"/>
      <c r="L111" s="21"/>
      <c r="M111" s="21"/>
    </row>
    <row r="112" spans="1:13" x14ac:dyDescent="0.25">
      <c r="A112" t="s">
        <v>15</v>
      </c>
      <c r="B112" s="16" t="s">
        <v>25</v>
      </c>
      <c r="C112" t="s">
        <v>7</v>
      </c>
      <c r="D112" t="str">
        <f t="shared" si="1"/>
        <v>MOON-Capricorn-Aries</v>
      </c>
      <c r="E112" s="17" t="s">
        <v>104</v>
      </c>
      <c r="F112" s="18" t="s">
        <v>25</v>
      </c>
      <c r="G112" s="19" t="s">
        <v>25</v>
      </c>
      <c r="H112" s="20" t="s">
        <v>99</v>
      </c>
      <c r="I112" s="18" t="s">
        <v>14</v>
      </c>
      <c r="J112" s="21" t="s">
        <v>14</v>
      </c>
      <c r="K112" s="21"/>
      <c r="L112" s="21"/>
      <c r="M112" s="21"/>
    </row>
    <row r="113" spans="1:13" x14ac:dyDescent="0.25">
      <c r="A113" t="s">
        <v>15</v>
      </c>
      <c r="B113" s="16" t="s">
        <v>25</v>
      </c>
      <c r="C113" t="s">
        <v>9</v>
      </c>
      <c r="D113" t="str">
        <f t="shared" si="1"/>
        <v>MOON-Capricorn-Taurus</v>
      </c>
      <c r="E113" s="17" t="s">
        <v>105</v>
      </c>
      <c r="F113" s="18" t="s">
        <v>23</v>
      </c>
      <c r="G113" s="19" t="s">
        <v>25</v>
      </c>
      <c r="H113" s="20" t="s">
        <v>101</v>
      </c>
      <c r="I113" s="18" t="s">
        <v>12</v>
      </c>
      <c r="J113" s="21" t="s">
        <v>14</v>
      </c>
      <c r="K113" s="21"/>
      <c r="L113" s="21"/>
      <c r="M113" s="21"/>
    </row>
    <row r="114" spans="1:13" x14ac:dyDescent="0.25">
      <c r="A114" t="s">
        <v>15</v>
      </c>
      <c r="B114" s="16" t="s">
        <v>25</v>
      </c>
      <c r="C114" t="s">
        <v>12</v>
      </c>
      <c r="D114" t="str">
        <f t="shared" si="1"/>
        <v>MOON-Capricorn-Gemini</v>
      </c>
      <c r="E114" s="17" t="s">
        <v>106</v>
      </c>
      <c r="F114" s="18" t="s">
        <v>21</v>
      </c>
      <c r="G114" s="19" t="s">
        <v>25</v>
      </c>
      <c r="H114" s="20" t="s">
        <v>103</v>
      </c>
      <c r="I114" s="18" t="s">
        <v>9</v>
      </c>
      <c r="J114" s="21" t="s">
        <v>14</v>
      </c>
      <c r="K114" s="21"/>
      <c r="L114" s="21"/>
      <c r="M114" s="21"/>
    </row>
    <row r="115" spans="1:13" x14ac:dyDescent="0.25">
      <c r="A115" t="s">
        <v>15</v>
      </c>
      <c r="B115" s="16" t="s">
        <v>25</v>
      </c>
      <c r="C115" t="s">
        <v>14</v>
      </c>
      <c r="D115" t="str">
        <f t="shared" si="1"/>
        <v>MOON-Capricorn-Cancer</v>
      </c>
      <c r="E115" s="17" t="s">
        <v>107</v>
      </c>
      <c r="F115" s="18" t="s">
        <v>10</v>
      </c>
      <c r="G115" s="19" t="s">
        <v>25</v>
      </c>
      <c r="H115" s="20" t="s">
        <v>98</v>
      </c>
      <c r="I115" s="18" t="s">
        <v>7</v>
      </c>
      <c r="J115" s="21" t="s">
        <v>14</v>
      </c>
      <c r="K115" s="21"/>
      <c r="L115" s="21"/>
      <c r="M115" s="21"/>
    </row>
    <row r="116" spans="1:13" x14ac:dyDescent="0.25">
      <c r="A116" t="s">
        <v>15</v>
      </c>
      <c r="B116" s="16" t="s">
        <v>25</v>
      </c>
      <c r="C116" t="s">
        <v>16</v>
      </c>
      <c r="D116" t="str">
        <f t="shared" si="1"/>
        <v>MOON-Capricorn-Leo</v>
      </c>
      <c r="E116" s="17" t="s">
        <v>108</v>
      </c>
      <c r="F116" s="18" t="s">
        <v>18</v>
      </c>
      <c r="G116" s="19" t="s">
        <v>25</v>
      </c>
      <c r="H116" s="20" t="s">
        <v>100</v>
      </c>
      <c r="I116" s="18" t="s">
        <v>29</v>
      </c>
      <c r="J116" s="21" t="s">
        <v>14</v>
      </c>
      <c r="K116" s="21"/>
      <c r="L116" s="21"/>
      <c r="M116" s="21"/>
    </row>
    <row r="117" spans="1:13" x14ac:dyDescent="0.25">
      <c r="A117" t="s">
        <v>15</v>
      </c>
      <c r="B117" s="16" t="s">
        <v>25</v>
      </c>
      <c r="C117" t="s">
        <v>18</v>
      </c>
      <c r="D117" t="str">
        <f t="shared" si="1"/>
        <v>MOON-Capricorn-Virgo</v>
      </c>
      <c r="E117" s="17" t="s">
        <v>109</v>
      </c>
      <c r="F117" s="18" t="s">
        <v>16</v>
      </c>
      <c r="G117" s="19" t="s">
        <v>25</v>
      </c>
      <c r="H117" s="20" t="s">
        <v>102</v>
      </c>
      <c r="I117" s="18" t="s">
        <v>27</v>
      </c>
      <c r="J117" s="21" t="s">
        <v>14</v>
      </c>
      <c r="K117" s="21"/>
      <c r="L117" s="21"/>
      <c r="M117" s="21"/>
    </row>
    <row r="118" spans="1:13" x14ac:dyDescent="0.25">
      <c r="A118" t="s">
        <v>15</v>
      </c>
      <c r="B118" s="16" t="s">
        <v>25</v>
      </c>
      <c r="C118" t="s">
        <v>10</v>
      </c>
      <c r="D118" t="str">
        <f t="shared" si="1"/>
        <v>MOON-Capricorn-Libra</v>
      </c>
      <c r="E118" s="17" t="s">
        <v>99</v>
      </c>
      <c r="F118" s="18" t="s">
        <v>14</v>
      </c>
      <c r="G118" s="19" t="s">
        <v>25</v>
      </c>
      <c r="H118" s="20" t="s">
        <v>104</v>
      </c>
      <c r="I118" s="18" t="s">
        <v>25</v>
      </c>
      <c r="J118" s="21" t="s">
        <v>14</v>
      </c>
      <c r="K118" s="21"/>
      <c r="L118" s="21"/>
      <c r="M118" s="21"/>
    </row>
    <row r="119" spans="1:13" x14ac:dyDescent="0.25">
      <c r="A119" t="s">
        <v>15</v>
      </c>
      <c r="B119" s="16" t="s">
        <v>25</v>
      </c>
      <c r="C119" t="s">
        <v>21</v>
      </c>
      <c r="D119" t="str">
        <f t="shared" si="1"/>
        <v>MOON-Capricorn-Scorpio</v>
      </c>
      <c r="E119" s="17" t="s">
        <v>101</v>
      </c>
      <c r="F119" s="18" t="s">
        <v>12</v>
      </c>
      <c r="G119" s="19" t="s">
        <v>25</v>
      </c>
      <c r="H119" s="20" t="s">
        <v>105</v>
      </c>
      <c r="I119" s="18" t="s">
        <v>23</v>
      </c>
      <c r="J119" s="21" t="s">
        <v>14</v>
      </c>
      <c r="K119" s="21"/>
      <c r="L119" s="21"/>
      <c r="M119" s="21"/>
    </row>
    <row r="120" spans="1:13" x14ac:dyDescent="0.25">
      <c r="A120" t="s">
        <v>15</v>
      </c>
      <c r="B120" s="16" t="s">
        <v>25</v>
      </c>
      <c r="C120" t="s">
        <v>23</v>
      </c>
      <c r="D120" t="str">
        <f t="shared" si="1"/>
        <v>MOON-Capricorn-Sagittarius</v>
      </c>
      <c r="E120" s="17" t="s">
        <v>103</v>
      </c>
      <c r="F120" s="18" t="s">
        <v>9</v>
      </c>
      <c r="G120" s="19" t="s">
        <v>25</v>
      </c>
      <c r="H120" s="20" t="s">
        <v>106</v>
      </c>
      <c r="I120" s="18" t="s">
        <v>21</v>
      </c>
      <c r="J120" s="21" t="s">
        <v>14</v>
      </c>
      <c r="K120" s="21"/>
      <c r="L120" s="21"/>
      <c r="M120" s="21"/>
    </row>
    <row r="121" spans="1:13" x14ac:dyDescent="0.25">
      <c r="A121" t="s">
        <v>15</v>
      </c>
      <c r="B121" s="16" t="s">
        <v>25</v>
      </c>
      <c r="C121" t="s">
        <v>25</v>
      </c>
      <c r="D121" t="str">
        <f t="shared" si="1"/>
        <v>MOON-Capricorn-Capricorn</v>
      </c>
      <c r="E121" s="17" t="s">
        <v>98</v>
      </c>
      <c r="F121" s="18" t="s">
        <v>7</v>
      </c>
      <c r="G121" s="19" t="s">
        <v>25</v>
      </c>
      <c r="H121" s="20" t="s">
        <v>107</v>
      </c>
      <c r="I121" s="18" t="s">
        <v>10</v>
      </c>
      <c r="J121" s="21" t="s">
        <v>14</v>
      </c>
      <c r="K121" s="21"/>
      <c r="L121" s="21"/>
      <c r="M121" s="21"/>
    </row>
    <row r="122" spans="1:13" x14ac:dyDescent="0.25">
      <c r="A122" t="s">
        <v>15</v>
      </c>
      <c r="B122" s="16" t="s">
        <v>25</v>
      </c>
      <c r="C122" t="s">
        <v>27</v>
      </c>
      <c r="D122" t="str">
        <f t="shared" si="1"/>
        <v>MOON-Capricorn-Aquarius</v>
      </c>
      <c r="E122" s="17" t="s">
        <v>100</v>
      </c>
      <c r="F122" s="18" t="s">
        <v>29</v>
      </c>
      <c r="G122" s="19" t="s">
        <v>25</v>
      </c>
      <c r="H122" s="20" t="s">
        <v>108</v>
      </c>
      <c r="I122" s="18" t="s">
        <v>18</v>
      </c>
      <c r="J122" s="21" t="s">
        <v>14</v>
      </c>
      <c r="K122" s="21"/>
      <c r="L122" s="21"/>
      <c r="M122" s="21"/>
    </row>
    <row r="123" spans="1:13" x14ac:dyDescent="0.25">
      <c r="A123" t="s">
        <v>15</v>
      </c>
      <c r="B123" s="16" t="s">
        <v>25</v>
      </c>
      <c r="C123" t="s">
        <v>29</v>
      </c>
      <c r="D123" t="str">
        <f t="shared" si="1"/>
        <v>MOON-Capricorn-Pisces</v>
      </c>
      <c r="E123" s="17" t="s">
        <v>102</v>
      </c>
      <c r="F123" s="18" t="s">
        <v>27</v>
      </c>
      <c r="G123" s="19" t="s">
        <v>25</v>
      </c>
      <c r="H123" s="20" t="s">
        <v>109</v>
      </c>
      <c r="I123" s="18" t="s">
        <v>16</v>
      </c>
      <c r="J123" s="21" t="s">
        <v>14</v>
      </c>
      <c r="K123" s="21"/>
      <c r="L123" s="21"/>
      <c r="M123" s="21"/>
    </row>
    <row r="124" spans="1:13" x14ac:dyDescent="0.25">
      <c r="A124" t="s">
        <v>15</v>
      </c>
      <c r="B124" s="16" t="s">
        <v>27</v>
      </c>
      <c r="C124" t="s">
        <v>7</v>
      </c>
      <c r="D124" t="str">
        <f t="shared" si="1"/>
        <v>MOON-Aquarius-Aries</v>
      </c>
      <c r="E124" s="17" t="s">
        <v>102</v>
      </c>
      <c r="F124" s="18" t="s">
        <v>27</v>
      </c>
      <c r="G124" s="19" t="s">
        <v>27</v>
      </c>
      <c r="H124" s="20" t="s">
        <v>99</v>
      </c>
      <c r="I124" s="18" t="s">
        <v>14</v>
      </c>
      <c r="J124" s="21" t="s">
        <v>14</v>
      </c>
      <c r="K124" s="21"/>
      <c r="L124" s="21"/>
      <c r="M124" s="21"/>
    </row>
    <row r="125" spans="1:13" x14ac:dyDescent="0.25">
      <c r="A125" t="s">
        <v>15</v>
      </c>
      <c r="B125" s="16" t="s">
        <v>27</v>
      </c>
      <c r="C125" t="s">
        <v>9</v>
      </c>
      <c r="D125" t="str">
        <f t="shared" si="1"/>
        <v>MOON-Aquarius-Taurus</v>
      </c>
      <c r="E125" s="17" t="s">
        <v>104</v>
      </c>
      <c r="F125" s="18" t="s">
        <v>25</v>
      </c>
      <c r="G125" s="19" t="s">
        <v>27</v>
      </c>
      <c r="H125" s="20" t="s">
        <v>101</v>
      </c>
      <c r="I125" s="18" t="s">
        <v>12</v>
      </c>
      <c r="J125" s="21" t="s">
        <v>14</v>
      </c>
      <c r="K125" s="21"/>
      <c r="L125" s="21"/>
      <c r="M125" s="21"/>
    </row>
    <row r="126" spans="1:13" x14ac:dyDescent="0.25">
      <c r="A126" t="s">
        <v>15</v>
      </c>
      <c r="B126" s="16" t="s">
        <v>27</v>
      </c>
      <c r="C126" t="s">
        <v>12</v>
      </c>
      <c r="D126" t="str">
        <f t="shared" si="1"/>
        <v>MOON-Aquarius-Gemini</v>
      </c>
      <c r="E126" s="17" t="s">
        <v>105</v>
      </c>
      <c r="F126" s="18" t="s">
        <v>23</v>
      </c>
      <c r="G126" s="19" t="s">
        <v>27</v>
      </c>
      <c r="H126" s="20" t="s">
        <v>103</v>
      </c>
      <c r="I126" s="18" t="s">
        <v>9</v>
      </c>
      <c r="J126" s="21" t="s">
        <v>14</v>
      </c>
      <c r="K126" s="21"/>
      <c r="L126" s="21"/>
      <c r="M126" s="21"/>
    </row>
    <row r="127" spans="1:13" x14ac:dyDescent="0.25">
      <c r="A127" t="s">
        <v>15</v>
      </c>
      <c r="B127" s="16" t="s">
        <v>27</v>
      </c>
      <c r="C127" t="s">
        <v>14</v>
      </c>
      <c r="D127" t="str">
        <f t="shared" si="1"/>
        <v>MOON-Aquarius-Cancer</v>
      </c>
      <c r="E127" s="17" t="s">
        <v>106</v>
      </c>
      <c r="F127" s="18" t="s">
        <v>21</v>
      </c>
      <c r="G127" s="19" t="s">
        <v>27</v>
      </c>
      <c r="H127" s="20" t="s">
        <v>98</v>
      </c>
      <c r="I127" s="18" t="s">
        <v>7</v>
      </c>
      <c r="J127" s="21" t="s">
        <v>14</v>
      </c>
      <c r="K127" s="21"/>
      <c r="L127" s="21"/>
      <c r="M127" s="21"/>
    </row>
    <row r="128" spans="1:13" x14ac:dyDescent="0.25">
      <c r="A128" t="s">
        <v>15</v>
      </c>
      <c r="B128" s="16" t="s">
        <v>27</v>
      </c>
      <c r="C128" t="s">
        <v>16</v>
      </c>
      <c r="D128" t="str">
        <f t="shared" si="1"/>
        <v>MOON-Aquarius-Leo</v>
      </c>
      <c r="E128" s="17" t="s">
        <v>107</v>
      </c>
      <c r="F128" s="18" t="s">
        <v>10</v>
      </c>
      <c r="G128" s="19" t="s">
        <v>27</v>
      </c>
      <c r="H128" s="20" t="s">
        <v>100</v>
      </c>
      <c r="I128" s="18" t="s">
        <v>29</v>
      </c>
      <c r="J128" s="21" t="s">
        <v>14</v>
      </c>
      <c r="K128" s="21"/>
      <c r="L128" s="21"/>
      <c r="M128" s="21"/>
    </row>
    <row r="129" spans="1:13" x14ac:dyDescent="0.25">
      <c r="A129" t="s">
        <v>15</v>
      </c>
      <c r="B129" s="16" t="s">
        <v>27</v>
      </c>
      <c r="C129" t="s">
        <v>18</v>
      </c>
      <c r="D129" t="str">
        <f t="shared" si="1"/>
        <v>MOON-Aquarius-Virgo</v>
      </c>
      <c r="E129" s="17" t="s">
        <v>108</v>
      </c>
      <c r="F129" s="18" t="s">
        <v>18</v>
      </c>
      <c r="G129" s="19" t="s">
        <v>27</v>
      </c>
      <c r="H129" s="20" t="s">
        <v>102</v>
      </c>
      <c r="I129" s="18" t="s">
        <v>27</v>
      </c>
      <c r="J129" s="21" t="s">
        <v>14</v>
      </c>
      <c r="K129" s="21"/>
      <c r="L129" s="21"/>
      <c r="M129" s="21"/>
    </row>
    <row r="130" spans="1:13" x14ac:dyDescent="0.25">
      <c r="A130" t="s">
        <v>15</v>
      </c>
      <c r="B130" s="16" t="s">
        <v>27</v>
      </c>
      <c r="C130" t="s">
        <v>10</v>
      </c>
      <c r="D130" t="str">
        <f t="shared" si="1"/>
        <v>MOON-Aquarius-Libra</v>
      </c>
      <c r="E130" s="17" t="s">
        <v>109</v>
      </c>
      <c r="F130" s="18" t="s">
        <v>16</v>
      </c>
      <c r="G130" s="19" t="s">
        <v>27</v>
      </c>
      <c r="H130" s="20" t="s">
        <v>104</v>
      </c>
      <c r="I130" s="18" t="s">
        <v>25</v>
      </c>
      <c r="J130" s="21" t="s">
        <v>14</v>
      </c>
      <c r="K130" s="21"/>
      <c r="L130" s="21"/>
      <c r="M130" s="21"/>
    </row>
    <row r="131" spans="1:13" x14ac:dyDescent="0.25">
      <c r="A131" t="s">
        <v>15</v>
      </c>
      <c r="B131" s="16" t="s">
        <v>27</v>
      </c>
      <c r="C131" t="s">
        <v>21</v>
      </c>
      <c r="D131" t="str">
        <f t="shared" si="1"/>
        <v>MOON-Aquarius-Scorpio</v>
      </c>
      <c r="E131" s="17" t="s">
        <v>99</v>
      </c>
      <c r="F131" s="18" t="s">
        <v>14</v>
      </c>
      <c r="G131" s="19" t="s">
        <v>27</v>
      </c>
      <c r="H131" s="20" t="s">
        <v>105</v>
      </c>
      <c r="I131" s="18" t="s">
        <v>23</v>
      </c>
      <c r="J131" s="21" t="s">
        <v>14</v>
      </c>
      <c r="K131" s="21"/>
      <c r="L131" s="21"/>
      <c r="M131" s="21"/>
    </row>
    <row r="132" spans="1:13" x14ac:dyDescent="0.25">
      <c r="A132" t="s">
        <v>15</v>
      </c>
      <c r="B132" s="16" t="s">
        <v>27</v>
      </c>
      <c r="C132" t="s">
        <v>23</v>
      </c>
      <c r="D132" t="str">
        <f t="shared" ref="D132:D147" si="2">A132&amp;"-"&amp;B132&amp;"-"&amp;C132</f>
        <v>MOON-Aquarius-Sagittarius</v>
      </c>
      <c r="E132" s="17" t="s">
        <v>101</v>
      </c>
      <c r="F132" s="18" t="s">
        <v>12</v>
      </c>
      <c r="G132" s="19" t="s">
        <v>27</v>
      </c>
      <c r="H132" s="20" t="s">
        <v>106</v>
      </c>
      <c r="I132" s="18" t="s">
        <v>21</v>
      </c>
      <c r="J132" s="21" t="s">
        <v>14</v>
      </c>
      <c r="K132" s="21"/>
      <c r="L132" s="21"/>
      <c r="M132" s="21"/>
    </row>
    <row r="133" spans="1:13" x14ac:dyDescent="0.25">
      <c r="A133" t="s">
        <v>15</v>
      </c>
      <c r="B133" s="16" t="s">
        <v>27</v>
      </c>
      <c r="C133" t="s">
        <v>25</v>
      </c>
      <c r="D133" t="str">
        <f t="shared" si="2"/>
        <v>MOON-Aquarius-Capricorn</v>
      </c>
      <c r="E133" s="17" t="s">
        <v>103</v>
      </c>
      <c r="F133" s="18" t="s">
        <v>9</v>
      </c>
      <c r="G133" s="19" t="s">
        <v>27</v>
      </c>
      <c r="H133" s="20" t="s">
        <v>107</v>
      </c>
      <c r="I133" s="18" t="s">
        <v>10</v>
      </c>
      <c r="J133" s="21" t="s">
        <v>14</v>
      </c>
      <c r="K133" s="21"/>
      <c r="L133" s="21"/>
      <c r="M133" s="21"/>
    </row>
    <row r="134" spans="1:13" x14ac:dyDescent="0.25">
      <c r="A134" t="s">
        <v>15</v>
      </c>
      <c r="B134" s="16" t="s">
        <v>27</v>
      </c>
      <c r="C134" t="s">
        <v>27</v>
      </c>
      <c r="D134" t="str">
        <f t="shared" si="2"/>
        <v>MOON-Aquarius-Aquarius</v>
      </c>
      <c r="E134" s="17" t="s">
        <v>98</v>
      </c>
      <c r="F134" s="18" t="s">
        <v>7</v>
      </c>
      <c r="G134" s="19" t="s">
        <v>27</v>
      </c>
      <c r="H134" s="20" t="s">
        <v>108</v>
      </c>
      <c r="I134" s="18" t="s">
        <v>18</v>
      </c>
      <c r="J134" s="21" t="s">
        <v>14</v>
      </c>
      <c r="K134" s="21"/>
      <c r="L134" s="21"/>
      <c r="M134" s="21"/>
    </row>
    <row r="135" spans="1:13" x14ac:dyDescent="0.25">
      <c r="A135" t="s">
        <v>15</v>
      </c>
      <c r="B135" s="16" t="s">
        <v>27</v>
      </c>
      <c r="C135" t="s">
        <v>29</v>
      </c>
      <c r="D135" t="str">
        <f t="shared" si="2"/>
        <v>MOON-Aquarius-Pisces</v>
      </c>
      <c r="E135" s="17" t="s">
        <v>100</v>
      </c>
      <c r="F135" s="18" t="s">
        <v>29</v>
      </c>
      <c r="G135" s="19" t="s">
        <v>27</v>
      </c>
      <c r="H135" s="20" t="s">
        <v>109</v>
      </c>
      <c r="I135" s="18" t="s">
        <v>16</v>
      </c>
      <c r="J135" s="21" t="s">
        <v>14</v>
      </c>
      <c r="K135" s="21"/>
      <c r="L135" s="21"/>
      <c r="M135" s="21"/>
    </row>
    <row r="136" spans="1:13" x14ac:dyDescent="0.25">
      <c r="A136" t="s">
        <v>15</v>
      </c>
      <c r="B136" s="16" t="s">
        <v>29</v>
      </c>
      <c r="C136" t="s">
        <v>7</v>
      </c>
      <c r="D136" t="str">
        <f t="shared" si="2"/>
        <v>MOON-Pisces-Aries</v>
      </c>
      <c r="E136" s="17" t="s">
        <v>100</v>
      </c>
      <c r="F136" s="18" t="s">
        <v>29</v>
      </c>
      <c r="G136" s="19" t="s">
        <v>29</v>
      </c>
      <c r="H136" s="20" t="s">
        <v>99</v>
      </c>
      <c r="I136" s="18" t="s">
        <v>14</v>
      </c>
      <c r="J136" s="21" t="s">
        <v>14</v>
      </c>
      <c r="K136" s="21"/>
      <c r="L136" s="21"/>
      <c r="M136" s="21"/>
    </row>
    <row r="137" spans="1:13" x14ac:dyDescent="0.25">
      <c r="A137" t="s">
        <v>15</v>
      </c>
      <c r="B137" s="16" t="s">
        <v>29</v>
      </c>
      <c r="C137" t="s">
        <v>9</v>
      </c>
      <c r="D137" t="str">
        <f t="shared" si="2"/>
        <v>MOON-Pisces-Taurus</v>
      </c>
      <c r="E137" s="17" t="s">
        <v>102</v>
      </c>
      <c r="F137" s="18" t="s">
        <v>27</v>
      </c>
      <c r="G137" s="19" t="s">
        <v>29</v>
      </c>
      <c r="H137" s="20" t="s">
        <v>101</v>
      </c>
      <c r="I137" s="18" t="s">
        <v>12</v>
      </c>
      <c r="J137" s="21" t="s">
        <v>14</v>
      </c>
      <c r="K137" s="21"/>
      <c r="L137" s="21"/>
      <c r="M137" s="21"/>
    </row>
    <row r="138" spans="1:13" x14ac:dyDescent="0.25">
      <c r="A138" t="s">
        <v>15</v>
      </c>
      <c r="B138" s="16" t="s">
        <v>29</v>
      </c>
      <c r="C138" t="s">
        <v>12</v>
      </c>
      <c r="D138" t="str">
        <f t="shared" si="2"/>
        <v>MOON-Pisces-Gemini</v>
      </c>
      <c r="E138" s="17" t="s">
        <v>104</v>
      </c>
      <c r="F138" s="18" t="s">
        <v>25</v>
      </c>
      <c r="G138" s="19" t="s">
        <v>29</v>
      </c>
      <c r="H138" s="20" t="s">
        <v>103</v>
      </c>
      <c r="I138" s="18" t="s">
        <v>9</v>
      </c>
      <c r="J138" s="21" t="s">
        <v>14</v>
      </c>
      <c r="K138" s="21"/>
      <c r="L138" s="21"/>
      <c r="M138" s="21"/>
    </row>
    <row r="139" spans="1:13" x14ac:dyDescent="0.25">
      <c r="A139" t="s">
        <v>15</v>
      </c>
      <c r="B139" s="16" t="s">
        <v>29</v>
      </c>
      <c r="C139" t="s">
        <v>14</v>
      </c>
      <c r="D139" t="str">
        <f t="shared" si="2"/>
        <v>MOON-Pisces-Cancer</v>
      </c>
      <c r="E139" s="17" t="s">
        <v>105</v>
      </c>
      <c r="F139" s="18" t="s">
        <v>23</v>
      </c>
      <c r="G139" s="19" t="s">
        <v>29</v>
      </c>
      <c r="H139" s="20" t="s">
        <v>98</v>
      </c>
      <c r="I139" s="18" t="s">
        <v>7</v>
      </c>
      <c r="J139" s="21" t="s">
        <v>14</v>
      </c>
      <c r="K139" s="21"/>
      <c r="L139" s="21"/>
      <c r="M139" s="21"/>
    </row>
    <row r="140" spans="1:13" x14ac:dyDescent="0.25">
      <c r="A140" t="s">
        <v>15</v>
      </c>
      <c r="B140" s="16" t="s">
        <v>29</v>
      </c>
      <c r="C140" t="s">
        <v>16</v>
      </c>
      <c r="D140" t="str">
        <f t="shared" si="2"/>
        <v>MOON-Pisces-Leo</v>
      </c>
      <c r="E140" s="17" t="s">
        <v>106</v>
      </c>
      <c r="F140" s="18" t="s">
        <v>21</v>
      </c>
      <c r="G140" s="19" t="s">
        <v>29</v>
      </c>
      <c r="H140" s="20" t="s">
        <v>100</v>
      </c>
      <c r="I140" s="18" t="s">
        <v>29</v>
      </c>
      <c r="J140" s="21" t="s">
        <v>14</v>
      </c>
      <c r="K140" s="21"/>
      <c r="L140" s="21"/>
      <c r="M140" s="21"/>
    </row>
    <row r="141" spans="1:13" x14ac:dyDescent="0.25">
      <c r="A141" t="s">
        <v>15</v>
      </c>
      <c r="B141" s="16" t="s">
        <v>29</v>
      </c>
      <c r="C141" t="s">
        <v>18</v>
      </c>
      <c r="D141" t="str">
        <f t="shared" si="2"/>
        <v>MOON-Pisces-Virgo</v>
      </c>
      <c r="E141" s="17" t="s">
        <v>107</v>
      </c>
      <c r="F141" s="18" t="s">
        <v>10</v>
      </c>
      <c r="G141" s="19" t="s">
        <v>29</v>
      </c>
      <c r="H141" s="20" t="s">
        <v>102</v>
      </c>
      <c r="I141" s="18" t="s">
        <v>27</v>
      </c>
      <c r="J141" s="21" t="s">
        <v>14</v>
      </c>
      <c r="K141" s="21"/>
      <c r="L141" s="21"/>
      <c r="M141" s="21"/>
    </row>
    <row r="142" spans="1:13" x14ac:dyDescent="0.25">
      <c r="A142" t="s">
        <v>15</v>
      </c>
      <c r="B142" s="16" t="s">
        <v>29</v>
      </c>
      <c r="C142" t="s">
        <v>10</v>
      </c>
      <c r="D142" t="str">
        <f t="shared" si="2"/>
        <v>MOON-Pisces-Libra</v>
      </c>
      <c r="E142" s="17" t="s">
        <v>108</v>
      </c>
      <c r="F142" s="18" t="s">
        <v>18</v>
      </c>
      <c r="G142" s="19" t="s">
        <v>29</v>
      </c>
      <c r="H142" s="20" t="s">
        <v>104</v>
      </c>
      <c r="I142" s="18" t="s">
        <v>25</v>
      </c>
      <c r="J142" s="21" t="s">
        <v>14</v>
      </c>
      <c r="K142" s="21"/>
      <c r="L142" s="21"/>
      <c r="M142" s="21"/>
    </row>
    <row r="143" spans="1:13" x14ac:dyDescent="0.25">
      <c r="A143" t="s">
        <v>15</v>
      </c>
      <c r="B143" s="16" t="s">
        <v>29</v>
      </c>
      <c r="C143" t="s">
        <v>21</v>
      </c>
      <c r="D143" t="str">
        <f t="shared" si="2"/>
        <v>MOON-Pisces-Scorpio</v>
      </c>
      <c r="E143" s="17" t="s">
        <v>109</v>
      </c>
      <c r="F143" s="18" t="s">
        <v>16</v>
      </c>
      <c r="G143" s="19" t="s">
        <v>29</v>
      </c>
      <c r="H143" s="20" t="s">
        <v>105</v>
      </c>
      <c r="I143" s="18" t="s">
        <v>23</v>
      </c>
      <c r="J143" s="21" t="s">
        <v>14</v>
      </c>
      <c r="K143" s="21"/>
      <c r="L143" s="21"/>
      <c r="M143" s="21"/>
    </row>
    <row r="144" spans="1:13" x14ac:dyDescent="0.25">
      <c r="A144" t="s">
        <v>15</v>
      </c>
      <c r="B144" s="16" t="s">
        <v>29</v>
      </c>
      <c r="C144" t="s">
        <v>23</v>
      </c>
      <c r="D144" t="str">
        <f t="shared" si="2"/>
        <v>MOON-Pisces-Sagittarius</v>
      </c>
      <c r="E144" s="17" t="s">
        <v>99</v>
      </c>
      <c r="F144" s="18" t="s">
        <v>14</v>
      </c>
      <c r="G144" s="19" t="s">
        <v>29</v>
      </c>
      <c r="H144" s="20" t="s">
        <v>106</v>
      </c>
      <c r="I144" s="18" t="s">
        <v>21</v>
      </c>
      <c r="J144" s="21" t="s">
        <v>14</v>
      </c>
      <c r="K144" s="21"/>
      <c r="L144" s="21"/>
      <c r="M144" s="21"/>
    </row>
    <row r="145" spans="1:13" x14ac:dyDescent="0.25">
      <c r="A145" t="s">
        <v>15</v>
      </c>
      <c r="B145" s="16" t="s">
        <v>29</v>
      </c>
      <c r="C145" t="s">
        <v>25</v>
      </c>
      <c r="D145" t="str">
        <f t="shared" si="2"/>
        <v>MOON-Pisces-Capricorn</v>
      </c>
      <c r="E145" s="17" t="s">
        <v>101</v>
      </c>
      <c r="F145" s="18" t="s">
        <v>12</v>
      </c>
      <c r="G145" s="19" t="s">
        <v>29</v>
      </c>
      <c r="H145" s="20" t="s">
        <v>107</v>
      </c>
      <c r="I145" s="18" t="s">
        <v>10</v>
      </c>
      <c r="J145" s="21" t="s">
        <v>14</v>
      </c>
      <c r="K145" s="21"/>
      <c r="L145" s="21"/>
      <c r="M145" s="21"/>
    </row>
    <row r="146" spans="1:13" x14ac:dyDescent="0.25">
      <c r="A146" t="s">
        <v>15</v>
      </c>
      <c r="B146" s="16" t="s">
        <v>29</v>
      </c>
      <c r="C146" t="s">
        <v>27</v>
      </c>
      <c r="D146" t="str">
        <f t="shared" si="2"/>
        <v>MOON-Pisces-Aquarius</v>
      </c>
      <c r="E146" s="17" t="s">
        <v>103</v>
      </c>
      <c r="F146" s="18" t="s">
        <v>9</v>
      </c>
      <c r="G146" s="19" t="s">
        <v>29</v>
      </c>
      <c r="H146" s="20" t="s">
        <v>108</v>
      </c>
      <c r="I146" s="18" t="s">
        <v>18</v>
      </c>
      <c r="J146" s="21" t="s">
        <v>14</v>
      </c>
      <c r="K146" s="21"/>
      <c r="L146" s="21"/>
      <c r="M146" s="21"/>
    </row>
    <row r="147" spans="1:13" x14ac:dyDescent="0.25">
      <c r="A147" t="s">
        <v>15</v>
      </c>
      <c r="B147" s="16" t="s">
        <v>29</v>
      </c>
      <c r="C147" t="s">
        <v>29</v>
      </c>
      <c r="D147" t="str">
        <f t="shared" si="2"/>
        <v>MOON-Pisces-Pisces</v>
      </c>
      <c r="E147" s="17" t="s">
        <v>98</v>
      </c>
      <c r="F147" s="18" t="s">
        <v>7</v>
      </c>
      <c r="G147" s="19" t="s">
        <v>29</v>
      </c>
      <c r="H147" s="20" t="s">
        <v>109</v>
      </c>
      <c r="I147" s="18" t="s">
        <v>16</v>
      </c>
      <c r="J147" s="21" t="s">
        <v>14</v>
      </c>
      <c r="K147" s="21"/>
      <c r="L147" s="21"/>
      <c r="M147" s="21"/>
    </row>
    <row r="148" spans="1:13" x14ac:dyDescent="0.25">
      <c r="A148" t="s">
        <v>17</v>
      </c>
      <c r="B148" s="16" t="s">
        <v>7</v>
      </c>
      <c r="C148" t="s">
        <v>7</v>
      </c>
      <c r="D148" t="str">
        <f>A148&amp;"-"&amp;B148&amp;"-"&amp;C148</f>
        <v>SUN-Aries-Aries</v>
      </c>
      <c r="E148" s="17" t="s">
        <v>98</v>
      </c>
      <c r="F148" s="18" t="s">
        <v>7</v>
      </c>
      <c r="G148" s="19" t="s">
        <v>7</v>
      </c>
      <c r="H148" s="20" t="s">
        <v>109</v>
      </c>
      <c r="I148" s="22" t="s">
        <v>16</v>
      </c>
      <c r="J148" s="21" t="s">
        <v>16</v>
      </c>
      <c r="K148" s="21"/>
      <c r="L148" s="21"/>
      <c r="M148" s="21"/>
    </row>
    <row r="149" spans="1:13" x14ac:dyDescent="0.25">
      <c r="A149" t="s">
        <v>17</v>
      </c>
      <c r="B149" s="16" t="s">
        <v>7</v>
      </c>
      <c r="C149" t="s">
        <v>9</v>
      </c>
      <c r="D149" t="str">
        <f t="shared" ref="D149:D212" si="3">A149&amp;"-"&amp;B149&amp;"-"&amp;C149</f>
        <v>SUN-Aries-Taurus</v>
      </c>
      <c r="E149" s="17" t="s">
        <v>100</v>
      </c>
      <c r="F149" s="18" t="s">
        <v>29</v>
      </c>
      <c r="G149" s="19" t="s">
        <v>7</v>
      </c>
      <c r="H149" s="20" t="s">
        <v>99</v>
      </c>
      <c r="I149" s="18" t="s">
        <v>14</v>
      </c>
      <c r="J149" s="21" t="s">
        <v>16</v>
      </c>
      <c r="K149" s="21"/>
      <c r="L149" s="21"/>
      <c r="M149" s="21"/>
    </row>
    <row r="150" spans="1:13" x14ac:dyDescent="0.25">
      <c r="A150" t="s">
        <v>17</v>
      </c>
      <c r="B150" s="16" t="s">
        <v>7</v>
      </c>
      <c r="C150" t="s">
        <v>12</v>
      </c>
      <c r="D150" t="str">
        <f t="shared" si="3"/>
        <v>SUN-Aries-Gemini</v>
      </c>
      <c r="E150" s="17" t="s">
        <v>102</v>
      </c>
      <c r="F150" s="18" t="s">
        <v>27</v>
      </c>
      <c r="G150" s="19" t="s">
        <v>7</v>
      </c>
      <c r="H150" s="20" t="s">
        <v>101</v>
      </c>
      <c r="I150" s="18" t="s">
        <v>12</v>
      </c>
      <c r="J150" s="21" t="s">
        <v>16</v>
      </c>
      <c r="K150" s="21"/>
      <c r="L150" s="21"/>
      <c r="M150" s="21"/>
    </row>
    <row r="151" spans="1:13" x14ac:dyDescent="0.25">
      <c r="A151" t="s">
        <v>17</v>
      </c>
      <c r="B151" s="16" t="s">
        <v>7</v>
      </c>
      <c r="C151" t="s">
        <v>14</v>
      </c>
      <c r="D151" t="str">
        <f t="shared" si="3"/>
        <v>SUN-Aries-Cancer</v>
      </c>
      <c r="E151" s="17" t="s">
        <v>104</v>
      </c>
      <c r="F151" s="18" t="s">
        <v>25</v>
      </c>
      <c r="G151" s="19" t="s">
        <v>7</v>
      </c>
      <c r="H151" s="20" t="s">
        <v>103</v>
      </c>
      <c r="I151" s="18" t="s">
        <v>9</v>
      </c>
      <c r="J151" s="21" t="s">
        <v>16</v>
      </c>
      <c r="K151" s="21"/>
      <c r="L151" s="21"/>
      <c r="M151" s="21"/>
    </row>
    <row r="152" spans="1:13" x14ac:dyDescent="0.25">
      <c r="A152" t="s">
        <v>17</v>
      </c>
      <c r="B152" s="16" t="s">
        <v>7</v>
      </c>
      <c r="C152" t="s">
        <v>16</v>
      </c>
      <c r="D152" t="str">
        <f t="shared" si="3"/>
        <v>SUN-Aries-Leo</v>
      </c>
      <c r="E152" s="17" t="s">
        <v>105</v>
      </c>
      <c r="F152" s="18" t="s">
        <v>23</v>
      </c>
      <c r="G152" s="19" t="s">
        <v>7</v>
      </c>
      <c r="H152" s="20" t="s">
        <v>98</v>
      </c>
      <c r="I152" s="18" t="s">
        <v>7</v>
      </c>
      <c r="J152" s="21" t="s">
        <v>16</v>
      </c>
      <c r="K152" s="21"/>
      <c r="L152" s="21"/>
      <c r="M152" s="21"/>
    </row>
    <row r="153" spans="1:13" x14ac:dyDescent="0.25">
      <c r="A153" t="s">
        <v>17</v>
      </c>
      <c r="B153" s="16" t="s">
        <v>7</v>
      </c>
      <c r="C153" t="s">
        <v>18</v>
      </c>
      <c r="D153" t="str">
        <f t="shared" si="3"/>
        <v>SUN-Aries-Virgo</v>
      </c>
      <c r="E153" s="17" t="s">
        <v>106</v>
      </c>
      <c r="F153" s="18" t="s">
        <v>21</v>
      </c>
      <c r="G153" s="19" t="s">
        <v>7</v>
      </c>
      <c r="H153" s="20" t="s">
        <v>100</v>
      </c>
      <c r="I153" s="18" t="s">
        <v>29</v>
      </c>
      <c r="J153" s="21" t="s">
        <v>16</v>
      </c>
      <c r="K153" s="21"/>
      <c r="L153" s="21"/>
      <c r="M153" s="21"/>
    </row>
    <row r="154" spans="1:13" x14ac:dyDescent="0.25">
      <c r="A154" t="s">
        <v>17</v>
      </c>
      <c r="B154" s="16" t="s">
        <v>7</v>
      </c>
      <c r="C154" t="s">
        <v>10</v>
      </c>
      <c r="D154" t="str">
        <f t="shared" si="3"/>
        <v>SUN-Aries-Libra</v>
      </c>
      <c r="E154" s="17" t="s">
        <v>107</v>
      </c>
      <c r="F154" s="18" t="s">
        <v>10</v>
      </c>
      <c r="G154" s="19" t="s">
        <v>7</v>
      </c>
      <c r="H154" s="20" t="s">
        <v>102</v>
      </c>
      <c r="I154" s="18" t="s">
        <v>27</v>
      </c>
      <c r="J154" s="21" t="s">
        <v>16</v>
      </c>
      <c r="K154" s="21"/>
      <c r="L154" s="21"/>
      <c r="M154" s="21"/>
    </row>
    <row r="155" spans="1:13" x14ac:dyDescent="0.25">
      <c r="A155" t="s">
        <v>17</v>
      </c>
      <c r="B155" s="16" t="s">
        <v>7</v>
      </c>
      <c r="C155" t="s">
        <v>21</v>
      </c>
      <c r="D155" t="str">
        <f t="shared" si="3"/>
        <v>SUN-Aries-Scorpio</v>
      </c>
      <c r="E155" s="17" t="s">
        <v>108</v>
      </c>
      <c r="F155" s="18" t="s">
        <v>18</v>
      </c>
      <c r="G155" s="19" t="s">
        <v>7</v>
      </c>
      <c r="H155" s="20" t="s">
        <v>104</v>
      </c>
      <c r="I155" s="18" t="s">
        <v>25</v>
      </c>
      <c r="J155" s="21" t="s">
        <v>16</v>
      </c>
      <c r="K155" s="21"/>
      <c r="L155" s="21"/>
      <c r="M155" s="21"/>
    </row>
    <row r="156" spans="1:13" x14ac:dyDescent="0.25">
      <c r="A156" t="s">
        <v>17</v>
      </c>
      <c r="B156" s="16" t="s">
        <v>7</v>
      </c>
      <c r="C156" t="s">
        <v>23</v>
      </c>
      <c r="D156" t="str">
        <f t="shared" si="3"/>
        <v>SUN-Aries-Sagittarius</v>
      </c>
      <c r="E156" s="17" t="s">
        <v>109</v>
      </c>
      <c r="F156" s="18" t="s">
        <v>16</v>
      </c>
      <c r="G156" s="19" t="s">
        <v>7</v>
      </c>
      <c r="H156" s="20" t="s">
        <v>105</v>
      </c>
      <c r="I156" s="18" t="s">
        <v>23</v>
      </c>
      <c r="J156" s="21" t="s">
        <v>16</v>
      </c>
      <c r="K156" s="21"/>
      <c r="L156" s="21"/>
      <c r="M156" s="21"/>
    </row>
    <row r="157" spans="1:13" x14ac:dyDescent="0.25">
      <c r="A157" t="s">
        <v>17</v>
      </c>
      <c r="B157" s="16" t="s">
        <v>7</v>
      </c>
      <c r="C157" t="s">
        <v>25</v>
      </c>
      <c r="D157" t="str">
        <f t="shared" si="3"/>
        <v>SUN-Aries-Capricorn</v>
      </c>
      <c r="E157" s="17" t="s">
        <v>99</v>
      </c>
      <c r="F157" s="18" t="s">
        <v>14</v>
      </c>
      <c r="G157" s="19" t="s">
        <v>7</v>
      </c>
      <c r="H157" s="20" t="s">
        <v>106</v>
      </c>
      <c r="I157" s="18" t="s">
        <v>21</v>
      </c>
      <c r="J157" s="21" t="s">
        <v>16</v>
      </c>
      <c r="K157" s="21"/>
      <c r="L157" s="21"/>
      <c r="M157" s="21"/>
    </row>
    <row r="158" spans="1:13" x14ac:dyDescent="0.25">
      <c r="A158" t="s">
        <v>17</v>
      </c>
      <c r="B158" s="16" t="s">
        <v>7</v>
      </c>
      <c r="C158" t="s">
        <v>27</v>
      </c>
      <c r="D158" t="str">
        <f t="shared" si="3"/>
        <v>SUN-Aries-Aquarius</v>
      </c>
      <c r="E158" s="17" t="s">
        <v>101</v>
      </c>
      <c r="F158" s="18" t="s">
        <v>12</v>
      </c>
      <c r="G158" s="19" t="s">
        <v>7</v>
      </c>
      <c r="H158" s="20" t="s">
        <v>107</v>
      </c>
      <c r="I158" s="18" t="s">
        <v>10</v>
      </c>
      <c r="J158" s="21" t="s">
        <v>16</v>
      </c>
      <c r="K158" s="21"/>
      <c r="L158" s="21"/>
      <c r="M158" s="21"/>
    </row>
    <row r="159" spans="1:13" x14ac:dyDescent="0.25">
      <c r="A159" t="s">
        <v>17</v>
      </c>
      <c r="B159" s="16" t="s">
        <v>7</v>
      </c>
      <c r="C159" t="s">
        <v>29</v>
      </c>
      <c r="D159" t="str">
        <f t="shared" si="3"/>
        <v>SUN-Aries-Pisces</v>
      </c>
      <c r="E159" s="17" t="s">
        <v>103</v>
      </c>
      <c r="F159" s="18" t="s">
        <v>9</v>
      </c>
      <c r="G159" s="19" t="s">
        <v>7</v>
      </c>
      <c r="H159" s="20" t="s">
        <v>108</v>
      </c>
      <c r="I159" s="18" t="s">
        <v>18</v>
      </c>
      <c r="J159" s="21" t="s">
        <v>16</v>
      </c>
      <c r="K159" s="21"/>
      <c r="L159" s="21"/>
      <c r="M159" s="21"/>
    </row>
    <row r="160" spans="1:13" x14ac:dyDescent="0.25">
      <c r="A160" t="s">
        <v>17</v>
      </c>
      <c r="B160" s="16" t="s">
        <v>9</v>
      </c>
      <c r="C160" t="s">
        <v>7</v>
      </c>
      <c r="D160" t="str">
        <f t="shared" si="3"/>
        <v>SUN-Taurus-Aries</v>
      </c>
      <c r="E160" s="17" t="s">
        <v>103</v>
      </c>
      <c r="F160" s="18" t="s">
        <v>9</v>
      </c>
      <c r="G160" s="19" t="s">
        <v>9</v>
      </c>
      <c r="H160" s="20" t="s">
        <v>109</v>
      </c>
      <c r="I160" s="22" t="s">
        <v>16</v>
      </c>
      <c r="J160" s="21" t="s">
        <v>16</v>
      </c>
      <c r="K160" s="21"/>
      <c r="L160" s="21"/>
      <c r="M160" s="21"/>
    </row>
    <row r="161" spans="1:13" x14ac:dyDescent="0.25">
      <c r="A161" t="s">
        <v>17</v>
      </c>
      <c r="B161" s="16" t="s">
        <v>9</v>
      </c>
      <c r="C161" t="s">
        <v>9</v>
      </c>
      <c r="D161" t="str">
        <f t="shared" si="3"/>
        <v>SUN-Taurus-Taurus</v>
      </c>
      <c r="E161" s="17" t="s">
        <v>98</v>
      </c>
      <c r="F161" s="18" t="s">
        <v>7</v>
      </c>
      <c r="G161" s="19" t="s">
        <v>9</v>
      </c>
      <c r="H161" s="20" t="s">
        <v>99</v>
      </c>
      <c r="I161" s="18" t="s">
        <v>14</v>
      </c>
      <c r="J161" s="21" t="s">
        <v>16</v>
      </c>
      <c r="K161" s="21"/>
      <c r="L161" s="21"/>
      <c r="M161" s="21"/>
    </row>
    <row r="162" spans="1:13" x14ac:dyDescent="0.25">
      <c r="A162" t="s">
        <v>17</v>
      </c>
      <c r="B162" s="16" t="s">
        <v>9</v>
      </c>
      <c r="C162" t="s">
        <v>12</v>
      </c>
      <c r="D162" t="str">
        <f t="shared" si="3"/>
        <v>SUN-Taurus-Gemini</v>
      </c>
      <c r="E162" s="17" t="s">
        <v>100</v>
      </c>
      <c r="F162" s="18" t="s">
        <v>29</v>
      </c>
      <c r="G162" s="19" t="s">
        <v>9</v>
      </c>
      <c r="H162" s="20" t="s">
        <v>101</v>
      </c>
      <c r="I162" s="18" t="s">
        <v>12</v>
      </c>
      <c r="J162" s="21" t="s">
        <v>16</v>
      </c>
      <c r="K162" s="21"/>
      <c r="L162" s="21"/>
      <c r="M162" s="21"/>
    </row>
    <row r="163" spans="1:13" x14ac:dyDescent="0.25">
      <c r="A163" t="s">
        <v>17</v>
      </c>
      <c r="B163" s="16" t="s">
        <v>9</v>
      </c>
      <c r="C163" t="s">
        <v>14</v>
      </c>
      <c r="D163" t="str">
        <f t="shared" si="3"/>
        <v>SUN-Taurus-Cancer</v>
      </c>
      <c r="E163" s="17" t="s">
        <v>102</v>
      </c>
      <c r="F163" s="18" t="s">
        <v>27</v>
      </c>
      <c r="G163" s="19" t="s">
        <v>9</v>
      </c>
      <c r="H163" s="20" t="s">
        <v>103</v>
      </c>
      <c r="I163" s="18" t="s">
        <v>9</v>
      </c>
      <c r="J163" s="21" t="s">
        <v>16</v>
      </c>
      <c r="K163" s="21"/>
      <c r="L163" s="21"/>
      <c r="M163" s="21"/>
    </row>
    <row r="164" spans="1:13" x14ac:dyDescent="0.25">
      <c r="A164" t="s">
        <v>17</v>
      </c>
      <c r="B164" s="16" t="s">
        <v>9</v>
      </c>
      <c r="C164" t="s">
        <v>16</v>
      </c>
      <c r="D164" t="str">
        <f t="shared" si="3"/>
        <v>SUN-Taurus-Leo</v>
      </c>
      <c r="E164" s="17" t="s">
        <v>104</v>
      </c>
      <c r="F164" s="18" t="s">
        <v>25</v>
      </c>
      <c r="G164" s="19" t="s">
        <v>9</v>
      </c>
      <c r="H164" s="20" t="s">
        <v>98</v>
      </c>
      <c r="I164" s="18" t="s">
        <v>7</v>
      </c>
      <c r="J164" s="21" t="s">
        <v>16</v>
      </c>
      <c r="K164" s="21"/>
      <c r="L164" s="21"/>
      <c r="M164" s="21"/>
    </row>
    <row r="165" spans="1:13" x14ac:dyDescent="0.25">
      <c r="A165" t="s">
        <v>17</v>
      </c>
      <c r="B165" s="16" t="s">
        <v>9</v>
      </c>
      <c r="C165" t="s">
        <v>18</v>
      </c>
      <c r="D165" t="str">
        <f t="shared" si="3"/>
        <v>SUN-Taurus-Virgo</v>
      </c>
      <c r="E165" s="17" t="s">
        <v>105</v>
      </c>
      <c r="F165" s="18" t="s">
        <v>23</v>
      </c>
      <c r="G165" s="19" t="s">
        <v>9</v>
      </c>
      <c r="H165" s="20" t="s">
        <v>100</v>
      </c>
      <c r="I165" s="18" t="s">
        <v>29</v>
      </c>
      <c r="J165" s="21" t="s">
        <v>16</v>
      </c>
      <c r="K165" s="21"/>
      <c r="L165" s="21"/>
      <c r="M165" s="21"/>
    </row>
    <row r="166" spans="1:13" x14ac:dyDescent="0.25">
      <c r="A166" t="s">
        <v>17</v>
      </c>
      <c r="B166" s="16" t="s">
        <v>9</v>
      </c>
      <c r="C166" t="s">
        <v>10</v>
      </c>
      <c r="D166" t="str">
        <f t="shared" si="3"/>
        <v>SUN-Taurus-Libra</v>
      </c>
      <c r="E166" s="17" t="s">
        <v>106</v>
      </c>
      <c r="F166" s="18" t="s">
        <v>21</v>
      </c>
      <c r="G166" s="19" t="s">
        <v>9</v>
      </c>
      <c r="H166" s="20" t="s">
        <v>102</v>
      </c>
      <c r="I166" s="18" t="s">
        <v>27</v>
      </c>
      <c r="J166" s="21" t="s">
        <v>16</v>
      </c>
      <c r="K166" s="21"/>
      <c r="L166" s="21"/>
      <c r="M166" s="21"/>
    </row>
    <row r="167" spans="1:13" x14ac:dyDescent="0.25">
      <c r="A167" t="s">
        <v>17</v>
      </c>
      <c r="B167" s="16" t="s">
        <v>9</v>
      </c>
      <c r="C167" t="s">
        <v>21</v>
      </c>
      <c r="D167" t="str">
        <f t="shared" si="3"/>
        <v>SUN-Taurus-Scorpio</v>
      </c>
      <c r="E167" s="17" t="s">
        <v>107</v>
      </c>
      <c r="F167" s="18" t="s">
        <v>10</v>
      </c>
      <c r="G167" s="19" t="s">
        <v>9</v>
      </c>
      <c r="H167" s="20" t="s">
        <v>104</v>
      </c>
      <c r="I167" s="18" t="s">
        <v>25</v>
      </c>
      <c r="J167" s="21" t="s">
        <v>16</v>
      </c>
      <c r="K167" s="21"/>
      <c r="L167" s="21"/>
      <c r="M167" s="21"/>
    </row>
    <row r="168" spans="1:13" x14ac:dyDescent="0.25">
      <c r="A168" t="s">
        <v>17</v>
      </c>
      <c r="B168" s="16" t="s">
        <v>9</v>
      </c>
      <c r="C168" t="s">
        <v>23</v>
      </c>
      <c r="D168" t="str">
        <f t="shared" si="3"/>
        <v>SUN-Taurus-Sagittarius</v>
      </c>
      <c r="E168" s="17" t="s">
        <v>108</v>
      </c>
      <c r="F168" s="18" t="s">
        <v>18</v>
      </c>
      <c r="G168" s="19" t="s">
        <v>9</v>
      </c>
      <c r="H168" s="20" t="s">
        <v>105</v>
      </c>
      <c r="I168" s="18" t="s">
        <v>23</v>
      </c>
      <c r="J168" s="21" t="s">
        <v>16</v>
      </c>
      <c r="K168" s="21"/>
      <c r="L168" s="21"/>
      <c r="M168" s="21"/>
    </row>
    <row r="169" spans="1:13" x14ac:dyDescent="0.25">
      <c r="A169" t="s">
        <v>17</v>
      </c>
      <c r="B169" s="16" t="s">
        <v>9</v>
      </c>
      <c r="C169" t="s">
        <v>25</v>
      </c>
      <c r="D169" t="str">
        <f t="shared" si="3"/>
        <v>SUN-Taurus-Capricorn</v>
      </c>
      <c r="E169" s="17" t="s">
        <v>109</v>
      </c>
      <c r="F169" s="18" t="s">
        <v>16</v>
      </c>
      <c r="G169" s="19" t="s">
        <v>9</v>
      </c>
      <c r="H169" s="20" t="s">
        <v>106</v>
      </c>
      <c r="I169" s="18" t="s">
        <v>21</v>
      </c>
      <c r="J169" s="21" t="s">
        <v>16</v>
      </c>
      <c r="K169" s="21"/>
      <c r="L169" s="21"/>
      <c r="M169" s="21"/>
    </row>
    <row r="170" spans="1:13" x14ac:dyDescent="0.25">
      <c r="A170" t="s">
        <v>17</v>
      </c>
      <c r="B170" s="16" t="s">
        <v>9</v>
      </c>
      <c r="C170" t="s">
        <v>27</v>
      </c>
      <c r="D170" t="str">
        <f t="shared" si="3"/>
        <v>SUN-Taurus-Aquarius</v>
      </c>
      <c r="E170" s="17" t="s">
        <v>99</v>
      </c>
      <c r="F170" s="18" t="s">
        <v>14</v>
      </c>
      <c r="G170" s="19" t="s">
        <v>9</v>
      </c>
      <c r="H170" s="20" t="s">
        <v>107</v>
      </c>
      <c r="I170" s="18" t="s">
        <v>10</v>
      </c>
      <c r="J170" s="21" t="s">
        <v>16</v>
      </c>
      <c r="K170" s="21"/>
      <c r="L170" s="21"/>
      <c r="M170" s="21"/>
    </row>
    <row r="171" spans="1:13" x14ac:dyDescent="0.25">
      <c r="A171" t="s">
        <v>17</v>
      </c>
      <c r="B171" s="16" t="s">
        <v>9</v>
      </c>
      <c r="C171" t="s">
        <v>29</v>
      </c>
      <c r="D171" t="str">
        <f t="shared" si="3"/>
        <v>SUN-Taurus-Pisces</v>
      </c>
      <c r="E171" s="17" t="s">
        <v>101</v>
      </c>
      <c r="F171" s="18" t="s">
        <v>12</v>
      </c>
      <c r="G171" s="19" t="s">
        <v>9</v>
      </c>
      <c r="H171" s="20" t="s">
        <v>108</v>
      </c>
      <c r="I171" s="18" t="s">
        <v>18</v>
      </c>
      <c r="J171" s="21" t="s">
        <v>16</v>
      </c>
      <c r="K171" s="21"/>
      <c r="L171" s="21"/>
      <c r="M171" s="21"/>
    </row>
    <row r="172" spans="1:13" x14ac:dyDescent="0.25">
      <c r="A172" t="s">
        <v>17</v>
      </c>
      <c r="B172" s="16" t="s">
        <v>12</v>
      </c>
      <c r="C172" t="s">
        <v>7</v>
      </c>
      <c r="D172" t="str">
        <f t="shared" si="3"/>
        <v>SUN-Gemini-Aries</v>
      </c>
      <c r="E172" s="17" t="s">
        <v>101</v>
      </c>
      <c r="F172" s="18" t="s">
        <v>12</v>
      </c>
      <c r="G172" s="19" t="s">
        <v>12</v>
      </c>
      <c r="H172" s="20" t="s">
        <v>109</v>
      </c>
      <c r="I172" s="22" t="s">
        <v>16</v>
      </c>
      <c r="J172" s="21" t="s">
        <v>16</v>
      </c>
      <c r="K172" s="21"/>
      <c r="L172" s="21"/>
      <c r="M172" s="21"/>
    </row>
    <row r="173" spans="1:13" x14ac:dyDescent="0.25">
      <c r="A173" t="s">
        <v>17</v>
      </c>
      <c r="B173" s="16" t="s">
        <v>12</v>
      </c>
      <c r="C173" t="s">
        <v>9</v>
      </c>
      <c r="D173" t="str">
        <f t="shared" si="3"/>
        <v>SUN-Gemini-Taurus</v>
      </c>
      <c r="E173" s="17" t="s">
        <v>103</v>
      </c>
      <c r="F173" s="18" t="s">
        <v>9</v>
      </c>
      <c r="G173" s="19" t="s">
        <v>12</v>
      </c>
      <c r="H173" s="20" t="s">
        <v>99</v>
      </c>
      <c r="I173" s="18" t="s">
        <v>14</v>
      </c>
      <c r="J173" s="21" t="s">
        <v>16</v>
      </c>
      <c r="K173" s="21"/>
      <c r="L173" s="21"/>
      <c r="M173" s="21"/>
    </row>
    <row r="174" spans="1:13" x14ac:dyDescent="0.25">
      <c r="A174" t="s">
        <v>17</v>
      </c>
      <c r="B174" s="16" t="s">
        <v>12</v>
      </c>
      <c r="C174" t="s">
        <v>12</v>
      </c>
      <c r="D174" t="str">
        <f t="shared" si="3"/>
        <v>SUN-Gemini-Gemini</v>
      </c>
      <c r="E174" s="17" t="s">
        <v>98</v>
      </c>
      <c r="F174" s="18" t="s">
        <v>7</v>
      </c>
      <c r="G174" s="19" t="s">
        <v>12</v>
      </c>
      <c r="H174" s="20" t="s">
        <v>101</v>
      </c>
      <c r="I174" s="18" t="s">
        <v>12</v>
      </c>
      <c r="J174" s="21" t="s">
        <v>16</v>
      </c>
      <c r="K174" s="21"/>
      <c r="L174" s="21"/>
      <c r="M174" s="21"/>
    </row>
    <row r="175" spans="1:13" x14ac:dyDescent="0.25">
      <c r="A175" t="s">
        <v>17</v>
      </c>
      <c r="B175" s="16" t="s">
        <v>12</v>
      </c>
      <c r="C175" t="s">
        <v>14</v>
      </c>
      <c r="D175" t="str">
        <f t="shared" si="3"/>
        <v>SUN-Gemini-Cancer</v>
      </c>
      <c r="E175" s="17" t="s">
        <v>100</v>
      </c>
      <c r="F175" s="18" t="s">
        <v>29</v>
      </c>
      <c r="G175" s="19" t="s">
        <v>12</v>
      </c>
      <c r="H175" s="20" t="s">
        <v>103</v>
      </c>
      <c r="I175" s="18" t="s">
        <v>9</v>
      </c>
      <c r="J175" s="21" t="s">
        <v>16</v>
      </c>
      <c r="K175" s="21"/>
      <c r="L175" s="21"/>
      <c r="M175" s="21"/>
    </row>
    <row r="176" spans="1:13" x14ac:dyDescent="0.25">
      <c r="A176" t="s">
        <v>17</v>
      </c>
      <c r="B176" s="16" t="s">
        <v>12</v>
      </c>
      <c r="C176" t="s">
        <v>16</v>
      </c>
      <c r="D176" t="str">
        <f t="shared" si="3"/>
        <v>SUN-Gemini-Leo</v>
      </c>
      <c r="E176" s="17" t="s">
        <v>102</v>
      </c>
      <c r="F176" s="18" t="s">
        <v>27</v>
      </c>
      <c r="G176" s="19" t="s">
        <v>12</v>
      </c>
      <c r="H176" s="20" t="s">
        <v>98</v>
      </c>
      <c r="I176" s="18" t="s">
        <v>7</v>
      </c>
      <c r="J176" s="21" t="s">
        <v>16</v>
      </c>
      <c r="K176" s="21"/>
      <c r="L176" s="21"/>
      <c r="M176" s="21"/>
    </row>
    <row r="177" spans="1:13" x14ac:dyDescent="0.25">
      <c r="A177" t="s">
        <v>17</v>
      </c>
      <c r="B177" s="16" t="s">
        <v>12</v>
      </c>
      <c r="C177" t="s">
        <v>18</v>
      </c>
      <c r="D177" t="str">
        <f t="shared" si="3"/>
        <v>SUN-Gemini-Virgo</v>
      </c>
      <c r="E177" s="17" t="s">
        <v>104</v>
      </c>
      <c r="F177" s="18" t="s">
        <v>25</v>
      </c>
      <c r="G177" s="19" t="s">
        <v>12</v>
      </c>
      <c r="H177" s="20" t="s">
        <v>100</v>
      </c>
      <c r="I177" s="18" t="s">
        <v>29</v>
      </c>
      <c r="J177" s="21" t="s">
        <v>16</v>
      </c>
      <c r="K177" s="21"/>
      <c r="L177" s="21"/>
      <c r="M177" s="21"/>
    </row>
    <row r="178" spans="1:13" x14ac:dyDescent="0.25">
      <c r="A178" t="s">
        <v>17</v>
      </c>
      <c r="B178" s="16" t="s">
        <v>12</v>
      </c>
      <c r="C178" t="s">
        <v>10</v>
      </c>
      <c r="D178" t="str">
        <f t="shared" si="3"/>
        <v>SUN-Gemini-Libra</v>
      </c>
      <c r="E178" s="17" t="s">
        <v>105</v>
      </c>
      <c r="F178" s="18" t="s">
        <v>23</v>
      </c>
      <c r="G178" s="19" t="s">
        <v>12</v>
      </c>
      <c r="H178" s="20" t="s">
        <v>102</v>
      </c>
      <c r="I178" s="18" t="s">
        <v>27</v>
      </c>
      <c r="J178" s="21" t="s">
        <v>16</v>
      </c>
      <c r="K178" s="21"/>
      <c r="L178" s="21"/>
      <c r="M178" s="21"/>
    </row>
    <row r="179" spans="1:13" x14ac:dyDescent="0.25">
      <c r="A179" t="s">
        <v>17</v>
      </c>
      <c r="B179" s="16" t="s">
        <v>12</v>
      </c>
      <c r="C179" t="s">
        <v>21</v>
      </c>
      <c r="D179" t="str">
        <f t="shared" si="3"/>
        <v>SUN-Gemini-Scorpio</v>
      </c>
      <c r="E179" s="17" t="s">
        <v>106</v>
      </c>
      <c r="F179" s="18" t="s">
        <v>21</v>
      </c>
      <c r="G179" s="19" t="s">
        <v>12</v>
      </c>
      <c r="H179" s="20" t="s">
        <v>104</v>
      </c>
      <c r="I179" s="18" t="s">
        <v>25</v>
      </c>
      <c r="J179" s="21" t="s">
        <v>16</v>
      </c>
      <c r="K179" s="21"/>
      <c r="L179" s="21"/>
      <c r="M179" s="21"/>
    </row>
    <row r="180" spans="1:13" x14ac:dyDescent="0.25">
      <c r="A180" t="s">
        <v>17</v>
      </c>
      <c r="B180" s="16" t="s">
        <v>12</v>
      </c>
      <c r="C180" t="s">
        <v>23</v>
      </c>
      <c r="D180" t="str">
        <f t="shared" si="3"/>
        <v>SUN-Gemini-Sagittarius</v>
      </c>
      <c r="E180" s="17" t="s">
        <v>107</v>
      </c>
      <c r="F180" s="18" t="s">
        <v>10</v>
      </c>
      <c r="G180" s="19" t="s">
        <v>12</v>
      </c>
      <c r="H180" s="20" t="s">
        <v>105</v>
      </c>
      <c r="I180" s="18" t="s">
        <v>23</v>
      </c>
      <c r="J180" s="21" t="s">
        <v>16</v>
      </c>
      <c r="K180" s="21"/>
      <c r="L180" s="21"/>
      <c r="M180" s="21"/>
    </row>
    <row r="181" spans="1:13" x14ac:dyDescent="0.25">
      <c r="A181" t="s">
        <v>17</v>
      </c>
      <c r="B181" s="16" t="s">
        <v>12</v>
      </c>
      <c r="C181" t="s">
        <v>25</v>
      </c>
      <c r="D181" t="str">
        <f t="shared" si="3"/>
        <v>SUN-Gemini-Capricorn</v>
      </c>
      <c r="E181" s="17" t="s">
        <v>108</v>
      </c>
      <c r="F181" s="18" t="s">
        <v>18</v>
      </c>
      <c r="G181" s="19" t="s">
        <v>12</v>
      </c>
      <c r="H181" s="20" t="s">
        <v>106</v>
      </c>
      <c r="I181" s="18" t="s">
        <v>21</v>
      </c>
      <c r="J181" s="21" t="s">
        <v>16</v>
      </c>
      <c r="K181" s="21"/>
      <c r="L181" s="21"/>
      <c r="M181" s="21"/>
    </row>
    <row r="182" spans="1:13" x14ac:dyDescent="0.25">
      <c r="A182" t="s">
        <v>17</v>
      </c>
      <c r="B182" s="16" t="s">
        <v>12</v>
      </c>
      <c r="C182" t="s">
        <v>27</v>
      </c>
      <c r="D182" t="str">
        <f t="shared" si="3"/>
        <v>SUN-Gemini-Aquarius</v>
      </c>
      <c r="E182" s="17" t="s">
        <v>109</v>
      </c>
      <c r="F182" s="18" t="s">
        <v>16</v>
      </c>
      <c r="G182" s="19" t="s">
        <v>12</v>
      </c>
      <c r="H182" s="20" t="s">
        <v>107</v>
      </c>
      <c r="I182" s="18" t="s">
        <v>10</v>
      </c>
      <c r="J182" s="21" t="s">
        <v>16</v>
      </c>
      <c r="K182" s="21"/>
      <c r="L182" s="21"/>
      <c r="M182" s="21"/>
    </row>
    <row r="183" spans="1:13" x14ac:dyDescent="0.25">
      <c r="A183" t="s">
        <v>17</v>
      </c>
      <c r="B183" s="16" t="s">
        <v>12</v>
      </c>
      <c r="C183" t="s">
        <v>29</v>
      </c>
      <c r="D183" t="str">
        <f t="shared" si="3"/>
        <v>SUN-Gemini-Pisces</v>
      </c>
      <c r="E183" s="17" t="s">
        <v>99</v>
      </c>
      <c r="F183" s="18" t="s">
        <v>14</v>
      </c>
      <c r="G183" s="19" t="s">
        <v>12</v>
      </c>
      <c r="H183" s="20" t="s">
        <v>108</v>
      </c>
      <c r="I183" s="18" t="s">
        <v>18</v>
      </c>
      <c r="J183" s="21" t="s">
        <v>16</v>
      </c>
      <c r="K183" s="21"/>
      <c r="L183" s="21"/>
      <c r="M183" s="21"/>
    </row>
    <row r="184" spans="1:13" x14ac:dyDescent="0.25">
      <c r="A184" t="s">
        <v>17</v>
      </c>
      <c r="B184" s="16" t="s">
        <v>14</v>
      </c>
      <c r="C184" t="s">
        <v>7</v>
      </c>
      <c r="D184" t="str">
        <f t="shared" si="3"/>
        <v>SUN-Cancer-Aries</v>
      </c>
      <c r="E184" s="17" t="s">
        <v>99</v>
      </c>
      <c r="F184" s="18" t="s">
        <v>14</v>
      </c>
      <c r="G184" s="19" t="s">
        <v>14</v>
      </c>
      <c r="H184" s="20" t="s">
        <v>109</v>
      </c>
      <c r="I184" s="22" t="s">
        <v>16</v>
      </c>
      <c r="J184" s="21" t="s">
        <v>16</v>
      </c>
      <c r="K184" s="21"/>
      <c r="L184" s="21"/>
      <c r="M184" s="21"/>
    </row>
    <row r="185" spans="1:13" x14ac:dyDescent="0.25">
      <c r="A185" t="s">
        <v>17</v>
      </c>
      <c r="B185" s="16" t="s">
        <v>14</v>
      </c>
      <c r="C185" t="s">
        <v>9</v>
      </c>
      <c r="D185" t="str">
        <f t="shared" si="3"/>
        <v>SUN-Cancer-Taurus</v>
      </c>
      <c r="E185" s="17" t="s">
        <v>101</v>
      </c>
      <c r="F185" s="18" t="s">
        <v>12</v>
      </c>
      <c r="G185" s="19" t="s">
        <v>14</v>
      </c>
      <c r="H185" s="20" t="s">
        <v>99</v>
      </c>
      <c r="I185" s="18" t="s">
        <v>14</v>
      </c>
      <c r="J185" s="21" t="s">
        <v>16</v>
      </c>
      <c r="K185" s="21"/>
      <c r="L185" s="21"/>
      <c r="M185" s="21"/>
    </row>
    <row r="186" spans="1:13" x14ac:dyDescent="0.25">
      <c r="A186" t="s">
        <v>17</v>
      </c>
      <c r="B186" s="16" t="s">
        <v>14</v>
      </c>
      <c r="C186" t="s">
        <v>12</v>
      </c>
      <c r="D186" t="str">
        <f t="shared" si="3"/>
        <v>SUN-Cancer-Gemini</v>
      </c>
      <c r="E186" s="17" t="s">
        <v>103</v>
      </c>
      <c r="F186" s="18" t="s">
        <v>9</v>
      </c>
      <c r="G186" s="19" t="s">
        <v>14</v>
      </c>
      <c r="H186" s="20" t="s">
        <v>101</v>
      </c>
      <c r="I186" s="18" t="s">
        <v>12</v>
      </c>
      <c r="J186" s="21" t="s">
        <v>16</v>
      </c>
      <c r="K186" s="21"/>
      <c r="L186" s="21"/>
      <c r="M186" s="21"/>
    </row>
    <row r="187" spans="1:13" x14ac:dyDescent="0.25">
      <c r="A187" t="s">
        <v>17</v>
      </c>
      <c r="B187" s="16" t="s">
        <v>14</v>
      </c>
      <c r="C187" t="s">
        <v>14</v>
      </c>
      <c r="D187" t="str">
        <f t="shared" si="3"/>
        <v>SUN-Cancer-Cancer</v>
      </c>
      <c r="E187" s="17" t="s">
        <v>98</v>
      </c>
      <c r="F187" s="18" t="s">
        <v>7</v>
      </c>
      <c r="G187" s="19" t="s">
        <v>14</v>
      </c>
      <c r="H187" s="20" t="s">
        <v>103</v>
      </c>
      <c r="I187" s="18" t="s">
        <v>9</v>
      </c>
      <c r="J187" s="21" t="s">
        <v>16</v>
      </c>
      <c r="K187" s="21"/>
      <c r="L187" s="21"/>
      <c r="M187" s="21"/>
    </row>
    <row r="188" spans="1:13" x14ac:dyDescent="0.25">
      <c r="A188" t="s">
        <v>17</v>
      </c>
      <c r="B188" s="16" t="s">
        <v>14</v>
      </c>
      <c r="C188" t="s">
        <v>16</v>
      </c>
      <c r="D188" t="str">
        <f t="shared" si="3"/>
        <v>SUN-Cancer-Leo</v>
      </c>
      <c r="E188" s="17" t="s">
        <v>100</v>
      </c>
      <c r="F188" s="18" t="s">
        <v>29</v>
      </c>
      <c r="G188" s="19" t="s">
        <v>14</v>
      </c>
      <c r="H188" s="20" t="s">
        <v>98</v>
      </c>
      <c r="I188" s="18" t="s">
        <v>7</v>
      </c>
      <c r="J188" s="21" t="s">
        <v>16</v>
      </c>
      <c r="K188" s="21"/>
      <c r="L188" s="21"/>
      <c r="M188" s="21"/>
    </row>
    <row r="189" spans="1:13" x14ac:dyDescent="0.25">
      <c r="A189" t="s">
        <v>17</v>
      </c>
      <c r="B189" s="16" t="s">
        <v>14</v>
      </c>
      <c r="C189" t="s">
        <v>18</v>
      </c>
      <c r="D189" t="str">
        <f t="shared" si="3"/>
        <v>SUN-Cancer-Virgo</v>
      </c>
      <c r="E189" s="17" t="s">
        <v>102</v>
      </c>
      <c r="F189" s="18" t="s">
        <v>27</v>
      </c>
      <c r="G189" s="19" t="s">
        <v>14</v>
      </c>
      <c r="H189" s="20" t="s">
        <v>100</v>
      </c>
      <c r="I189" s="18" t="s">
        <v>29</v>
      </c>
      <c r="J189" s="21" t="s">
        <v>16</v>
      </c>
      <c r="K189" s="21"/>
      <c r="L189" s="21"/>
      <c r="M189" s="21"/>
    </row>
    <row r="190" spans="1:13" x14ac:dyDescent="0.25">
      <c r="A190" t="s">
        <v>17</v>
      </c>
      <c r="B190" s="16" t="s">
        <v>14</v>
      </c>
      <c r="C190" t="s">
        <v>10</v>
      </c>
      <c r="D190" t="str">
        <f t="shared" si="3"/>
        <v>SUN-Cancer-Libra</v>
      </c>
      <c r="E190" s="17" t="s">
        <v>104</v>
      </c>
      <c r="F190" s="18" t="s">
        <v>25</v>
      </c>
      <c r="G190" s="19" t="s">
        <v>14</v>
      </c>
      <c r="H190" s="20" t="s">
        <v>102</v>
      </c>
      <c r="I190" s="18" t="s">
        <v>27</v>
      </c>
      <c r="J190" s="21" t="s">
        <v>16</v>
      </c>
      <c r="K190" s="21"/>
      <c r="L190" s="21"/>
      <c r="M190" s="21"/>
    </row>
    <row r="191" spans="1:13" x14ac:dyDescent="0.25">
      <c r="A191" t="s">
        <v>17</v>
      </c>
      <c r="B191" s="16" t="s">
        <v>14</v>
      </c>
      <c r="C191" t="s">
        <v>21</v>
      </c>
      <c r="D191" t="str">
        <f t="shared" si="3"/>
        <v>SUN-Cancer-Scorpio</v>
      </c>
      <c r="E191" s="17" t="s">
        <v>105</v>
      </c>
      <c r="F191" s="18" t="s">
        <v>23</v>
      </c>
      <c r="G191" s="19" t="s">
        <v>14</v>
      </c>
      <c r="H191" s="20" t="s">
        <v>104</v>
      </c>
      <c r="I191" s="18" t="s">
        <v>25</v>
      </c>
      <c r="J191" s="21" t="s">
        <v>16</v>
      </c>
      <c r="K191" s="21"/>
      <c r="L191" s="21"/>
      <c r="M191" s="21"/>
    </row>
    <row r="192" spans="1:13" x14ac:dyDescent="0.25">
      <c r="A192" t="s">
        <v>17</v>
      </c>
      <c r="B192" s="16" t="s">
        <v>14</v>
      </c>
      <c r="C192" t="s">
        <v>23</v>
      </c>
      <c r="D192" t="str">
        <f t="shared" si="3"/>
        <v>SUN-Cancer-Sagittarius</v>
      </c>
      <c r="E192" s="17" t="s">
        <v>106</v>
      </c>
      <c r="F192" s="18" t="s">
        <v>21</v>
      </c>
      <c r="G192" s="19" t="s">
        <v>14</v>
      </c>
      <c r="H192" s="20" t="s">
        <v>105</v>
      </c>
      <c r="I192" s="18" t="s">
        <v>23</v>
      </c>
      <c r="J192" s="21" t="s">
        <v>16</v>
      </c>
      <c r="K192" s="21"/>
      <c r="L192" s="21"/>
      <c r="M192" s="21"/>
    </row>
    <row r="193" spans="1:13" x14ac:dyDescent="0.25">
      <c r="A193" t="s">
        <v>17</v>
      </c>
      <c r="B193" s="16" t="s">
        <v>14</v>
      </c>
      <c r="C193" t="s">
        <v>25</v>
      </c>
      <c r="D193" t="str">
        <f t="shared" si="3"/>
        <v>SUN-Cancer-Capricorn</v>
      </c>
      <c r="E193" s="17" t="s">
        <v>107</v>
      </c>
      <c r="F193" s="18" t="s">
        <v>10</v>
      </c>
      <c r="G193" s="19" t="s">
        <v>14</v>
      </c>
      <c r="H193" s="20" t="s">
        <v>106</v>
      </c>
      <c r="I193" s="18" t="s">
        <v>21</v>
      </c>
      <c r="J193" s="21" t="s">
        <v>16</v>
      </c>
      <c r="K193" s="21"/>
      <c r="L193" s="21"/>
      <c r="M193" s="21"/>
    </row>
    <row r="194" spans="1:13" x14ac:dyDescent="0.25">
      <c r="A194" t="s">
        <v>17</v>
      </c>
      <c r="B194" s="16" t="s">
        <v>14</v>
      </c>
      <c r="C194" t="s">
        <v>27</v>
      </c>
      <c r="D194" t="str">
        <f t="shared" si="3"/>
        <v>SUN-Cancer-Aquarius</v>
      </c>
      <c r="E194" s="17" t="s">
        <v>108</v>
      </c>
      <c r="F194" s="18" t="s">
        <v>18</v>
      </c>
      <c r="G194" s="19" t="s">
        <v>14</v>
      </c>
      <c r="H194" s="20" t="s">
        <v>107</v>
      </c>
      <c r="I194" s="18" t="s">
        <v>10</v>
      </c>
      <c r="J194" s="21" t="s">
        <v>16</v>
      </c>
      <c r="K194" s="21"/>
      <c r="L194" s="21"/>
      <c r="M194" s="21"/>
    </row>
    <row r="195" spans="1:13" x14ac:dyDescent="0.25">
      <c r="A195" t="s">
        <v>17</v>
      </c>
      <c r="B195" s="16" t="s">
        <v>14</v>
      </c>
      <c r="C195" t="s">
        <v>29</v>
      </c>
      <c r="D195" t="str">
        <f t="shared" si="3"/>
        <v>SUN-Cancer-Pisces</v>
      </c>
      <c r="E195" s="17" t="s">
        <v>109</v>
      </c>
      <c r="F195" s="18" t="s">
        <v>16</v>
      </c>
      <c r="G195" s="19" t="s">
        <v>14</v>
      </c>
      <c r="H195" s="20" t="s">
        <v>108</v>
      </c>
      <c r="I195" s="18" t="s">
        <v>18</v>
      </c>
      <c r="J195" s="21" t="s">
        <v>16</v>
      </c>
      <c r="K195" s="21"/>
      <c r="L195" s="21"/>
      <c r="M195" s="21"/>
    </row>
    <row r="196" spans="1:13" x14ac:dyDescent="0.25">
      <c r="A196" t="s">
        <v>17</v>
      </c>
      <c r="B196" s="16" t="s">
        <v>16</v>
      </c>
      <c r="C196" t="s">
        <v>7</v>
      </c>
      <c r="D196" t="str">
        <f t="shared" si="3"/>
        <v>SUN-Leo-Aries</v>
      </c>
      <c r="E196" s="17" t="s">
        <v>109</v>
      </c>
      <c r="F196" s="18" t="s">
        <v>16</v>
      </c>
      <c r="G196" s="19" t="s">
        <v>16</v>
      </c>
      <c r="H196" s="20" t="s">
        <v>109</v>
      </c>
      <c r="I196" s="22" t="s">
        <v>16</v>
      </c>
      <c r="J196" s="21" t="s">
        <v>16</v>
      </c>
      <c r="K196" s="21"/>
      <c r="L196" s="21"/>
      <c r="M196" s="21"/>
    </row>
    <row r="197" spans="1:13" x14ac:dyDescent="0.25">
      <c r="A197" t="s">
        <v>17</v>
      </c>
      <c r="B197" s="16" t="s">
        <v>16</v>
      </c>
      <c r="C197" t="s">
        <v>9</v>
      </c>
      <c r="D197" t="str">
        <f t="shared" si="3"/>
        <v>SUN-Leo-Taurus</v>
      </c>
      <c r="E197" s="17" t="s">
        <v>99</v>
      </c>
      <c r="F197" s="18" t="s">
        <v>14</v>
      </c>
      <c r="G197" s="19" t="s">
        <v>16</v>
      </c>
      <c r="H197" s="20" t="s">
        <v>99</v>
      </c>
      <c r="I197" s="18" t="s">
        <v>14</v>
      </c>
      <c r="J197" s="21" t="s">
        <v>16</v>
      </c>
      <c r="K197" s="21"/>
      <c r="L197" s="21"/>
      <c r="M197" s="21"/>
    </row>
    <row r="198" spans="1:13" x14ac:dyDescent="0.25">
      <c r="A198" t="s">
        <v>17</v>
      </c>
      <c r="B198" s="16" t="s">
        <v>16</v>
      </c>
      <c r="C198" t="s">
        <v>12</v>
      </c>
      <c r="D198" t="str">
        <f t="shared" si="3"/>
        <v>SUN-Leo-Gemini</v>
      </c>
      <c r="E198" s="17" t="s">
        <v>101</v>
      </c>
      <c r="F198" s="18" t="s">
        <v>12</v>
      </c>
      <c r="G198" s="19" t="s">
        <v>16</v>
      </c>
      <c r="H198" s="20" t="s">
        <v>101</v>
      </c>
      <c r="I198" s="18" t="s">
        <v>12</v>
      </c>
      <c r="J198" s="21" t="s">
        <v>16</v>
      </c>
      <c r="K198" s="21"/>
      <c r="L198" s="21"/>
      <c r="M198" s="21"/>
    </row>
    <row r="199" spans="1:13" x14ac:dyDescent="0.25">
      <c r="A199" t="s">
        <v>17</v>
      </c>
      <c r="B199" s="16" t="s">
        <v>16</v>
      </c>
      <c r="C199" t="s">
        <v>14</v>
      </c>
      <c r="D199" t="str">
        <f t="shared" si="3"/>
        <v>SUN-Leo-Cancer</v>
      </c>
      <c r="E199" s="17" t="s">
        <v>103</v>
      </c>
      <c r="F199" s="18" t="s">
        <v>9</v>
      </c>
      <c r="G199" s="19" t="s">
        <v>16</v>
      </c>
      <c r="H199" s="20" t="s">
        <v>103</v>
      </c>
      <c r="I199" s="18" t="s">
        <v>9</v>
      </c>
      <c r="J199" s="21" t="s">
        <v>16</v>
      </c>
      <c r="K199" s="21"/>
      <c r="L199" s="21"/>
      <c r="M199" s="21"/>
    </row>
    <row r="200" spans="1:13" x14ac:dyDescent="0.25">
      <c r="A200" t="s">
        <v>17</v>
      </c>
      <c r="B200" s="16" t="s">
        <v>16</v>
      </c>
      <c r="C200" t="s">
        <v>16</v>
      </c>
      <c r="D200" t="str">
        <f t="shared" si="3"/>
        <v>SUN-Leo-Leo</v>
      </c>
      <c r="E200" s="17" t="s">
        <v>98</v>
      </c>
      <c r="F200" s="18" t="s">
        <v>7</v>
      </c>
      <c r="G200" s="19" t="s">
        <v>16</v>
      </c>
      <c r="H200" s="20" t="s">
        <v>98</v>
      </c>
      <c r="I200" s="18" t="s">
        <v>7</v>
      </c>
      <c r="J200" s="21" t="s">
        <v>16</v>
      </c>
      <c r="K200" s="21"/>
      <c r="L200" s="21"/>
      <c r="M200" s="21"/>
    </row>
    <row r="201" spans="1:13" x14ac:dyDescent="0.25">
      <c r="A201" t="s">
        <v>17</v>
      </c>
      <c r="B201" s="16" t="s">
        <v>16</v>
      </c>
      <c r="C201" t="s">
        <v>18</v>
      </c>
      <c r="D201" t="str">
        <f t="shared" si="3"/>
        <v>SUN-Leo-Virgo</v>
      </c>
      <c r="E201" s="17" t="s">
        <v>100</v>
      </c>
      <c r="F201" s="18" t="s">
        <v>29</v>
      </c>
      <c r="G201" s="19" t="s">
        <v>16</v>
      </c>
      <c r="H201" s="20" t="s">
        <v>100</v>
      </c>
      <c r="I201" s="18" t="s">
        <v>29</v>
      </c>
      <c r="J201" s="21" t="s">
        <v>16</v>
      </c>
      <c r="K201" s="21"/>
      <c r="L201" s="21"/>
      <c r="M201" s="21"/>
    </row>
    <row r="202" spans="1:13" x14ac:dyDescent="0.25">
      <c r="A202" t="s">
        <v>17</v>
      </c>
      <c r="B202" s="16" t="s">
        <v>16</v>
      </c>
      <c r="C202" t="s">
        <v>10</v>
      </c>
      <c r="D202" t="str">
        <f t="shared" si="3"/>
        <v>SUN-Leo-Libra</v>
      </c>
      <c r="E202" s="17" t="s">
        <v>102</v>
      </c>
      <c r="F202" s="18" t="s">
        <v>27</v>
      </c>
      <c r="G202" s="19" t="s">
        <v>16</v>
      </c>
      <c r="H202" s="20" t="s">
        <v>102</v>
      </c>
      <c r="I202" s="18" t="s">
        <v>27</v>
      </c>
      <c r="J202" s="21" t="s">
        <v>16</v>
      </c>
      <c r="K202" s="21"/>
      <c r="L202" s="21"/>
      <c r="M202" s="21"/>
    </row>
    <row r="203" spans="1:13" x14ac:dyDescent="0.25">
      <c r="A203" t="s">
        <v>17</v>
      </c>
      <c r="B203" s="16" t="s">
        <v>16</v>
      </c>
      <c r="C203" t="s">
        <v>21</v>
      </c>
      <c r="D203" t="str">
        <f t="shared" si="3"/>
        <v>SUN-Leo-Scorpio</v>
      </c>
      <c r="E203" s="17" t="s">
        <v>104</v>
      </c>
      <c r="F203" s="18" t="s">
        <v>25</v>
      </c>
      <c r="G203" s="19" t="s">
        <v>16</v>
      </c>
      <c r="H203" s="20" t="s">
        <v>104</v>
      </c>
      <c r="I203" s="18" t="s">
        <v>25</v>
      </c>
      <c r="J203" s="21" t="s">
        <v>16</v>
      </c>
      <c r="K203" s="21"/>
      <c r="L203" s="21"/>
      <c r="M203" s="21"/>
    </row>
    <row r="204" spans="1:13" x14ac:dyDescent="0.25">
      <c r="A204" t="s">
        <v>17</v>
      </c>
      <c r="B204" s="16" t="s">
        <v>16</v>
      </c>
      <c r="C204" t="s">
        <v>23</v>
      </c>
      <c r="D204" t="str">
        <f t="shared" si="3"/>
        <v>SUN-Leo-Sagittarius</v>
      </c>
      <c r="E204" s="17" t="s">
        <v>105</v>
      </c>
      <c r="F204" s="18" t="s">
        <v>23</v>
      </c>
      <c r="G204" s="19" t="s">
        <v>16</v>
      </c>
      <c r="H204" s="20" t="s">
        <v>105</v>
      </c>
      <c r="I204" s="18" t="s">
        <v>23</v>
      </c>
      <c r="J204" s="21" t="s">
        <v>16</v>
      </c>
      <c r="K204" s="21"/>
      <c r="L204" s="21"/>
      <c r="M204" s="21"/>
    </row>
    <row r="205" spans="1:13" x14ac:dyDescent="0.25">
      <c r="A205" t="s">
        <v>17</v>
      </c>
      <c r="B205" s="16" t="s">
        <v>16</v>
      </c>
      <c r="C205" t="s">
        <v>25</v>
      </c>
      <c r="D205" t="str">
        <f t="shared" si="3"/>
        <v>SUN-Leo-Capricorn</v>
      </c>
      <c r="E205" s="17" t="s">
        <v>106</v>
      </c>
      <c r="F205" s="18" t="s">
        <v>21</v>
      </c>
      <c r="G205" s="19" t="s">
        <v>16</v>
      </c>
      <c r="H205" s="20" t="s">
        <v>106</v>
      </c>
      <c r="I205" s="18" t="s">
        <v>21</v>
      </c>
      <c r="J205" s="21" t="s">
        <v>16</v>
      </c>
      <c r="K205" s="21"/>
      <c r="L205" s="21"/>
      <c r="M205" s="21"/>
    </row>
    <row r="206" spans="1:13" x14ac:dyDescent="0.25">
      <c r="A206" t="s">
        <v>17</v>
      </c>
      <c r="B206" s="16" t="s">
        <v>16</v>
      </c>
      <c r="C206" t="s">
        <v>27</v>
      </c>
      <c r="D206" t="str">
        <f t="shared" si="3"/>
        <v>SUN-Leo-Aquarius</v>
      </c>
      <c r="E206" s="17" t="s">
        <v>107</v>
      </c>
      <c r="F206" s="18" t="s">
        <v>10</v>
      </c>
      <c r="G206" s="19" t="s">
        <v>16</v>
      </c>
      <c r="H206" s="20" t="s">
        <v>107</v>
      </c>
      <c r="I206" s="18" t="s">
        <v>10</v>
      </c>
      <c r="J206" s="21" t="s">
        <v>16</v>
      </c>
      <c r="K206" s="21"/>
      <c r="L206" s="21"/>
      <c r="M206" s="21"/>
    </row>
    <row r="207" spans="1:13" x14ac:dyDescent="0.25">
      <c r="A207" t="s">
        <v>17</v>
      </c>
      <c r="B207" s="16" t="s">
        <v>16</v>
      </c>
      <c r="C207" t="s">
        <v>29</v>
      </c>
      <c r="D207" t="str">
        <f t="shared" si="3"/>
        <v>SUN-Leo-Pisces</v>
      </c>
      <c r="E207" s="17" t="s">
        <v>108</v>
      </c>
      <c r="F207" s="18" t="s">
        <v>18</v>
      </c>
      <c r="G207" s="19" t="s">
        <v>16</v>
      </c>
      <c r="H207" s="20" t="s">
        <v>108</v>
      </c>
      <c r="I207" s="18" t="s">
        <v>18</v>
      </c>
      <c r="J207" s="21" t="s">
        <v>16</v>
      </c>
      <c r="K207" s="21"/>
      <c r="L207" s="21"/>
      <c r="M207" s="21"/>
    </row>
    <row r="208" spans="1:13" x14ac:dyDescent="0.25">
      <c r="A208" t="s">
        <v>17</v>
      </c>
      <c r="B208" s="16" t="s">
        <v>18</v>
      </c>
      <c r="C208" t="s">
        <v>7</v>
      </c>
      <c r="D208" t="str">
        <f t="shared" si="3"/>
        <v>SUN-Virgo-Aries</v>
      </c>
      <c r="E208" s="17" t="s">
        <v>108</v>
      </c>
      <c r="F208" s="18" t="s">
        <v>18</v>
      </c>
      <c r="G208" s="19" t="s">
        <v>18</v>
      </c>
      <c r="H208" s="20" t="s">
        <v>109</v>
      </c>
      <c r="I208" s="22" t="s">
        <v>16</v>
      </c>
      <c r="J208" s="21" t="s">
        <v>16</v>
      </c>
      <c r="K208" s="21"/>
      <c r="L208" s="21"/>
      <c r="M208" s="21"/>
    </row>
    <row r="209" spans="1:13" x14ac:dyDescent="0.25">
      <c r="A209" t="s">
        <v>17</v>
      </c>
      <c r="B209" s="16" t="s">
        <v>18</v>
      </c>
      <c r="C209" t="s">
        <v>9</v>
      </c>
      <c r="D209" t="str">
        <f t="shared" si="3"/>
        <v>SUN-Virgo-Taurus</v>
      </c>
      <c r="E209" s="17" t="s">
        <v>109</v>
      </c>
      <c r="F209" s="18" t="s">
        <v>16</v>
      </c>
      <c r="G209" s="19" t="s">
        <v>18</v>
      </c>
      <c r="H209" s="20" t="s">
        <v>99</v>
      </c>
      <c r="I209" s="18" t="s">
        <v>14</v>
      </c>
      <c r="J209" s="21" t="s">
        <v>16</v>
      </c>
      <c r="K209" s="21"/>
      <c r="L209" s="21"/>
      <c r="M209" s="21"/>
    </row>
    <row r="210" spans="1:13" x14ac:dyDescent="0.25">
      <c r="A210" t="s">
        <v>17</v>
      </c>
      <c r="B210" s="16" t="s">
        <v>18</v>
      </c>
      <c r="C210" t="s">
        <v>12</v>
      </c>
      <c r="D210" t="str">
        <f t="shared" si="3"/>
        <v>SUN-Virgo-Gemini</v>
      </c>
      <c r="E210" s="17" t="s">
        <v>99</v>
      </c>
      <c r="F210" s="18" t="s">
        <v>14</v>
      </c>
      <c r="G210" s="19" t="s">
        <v>18</v>
      </c>
      <c r="H210" s="20" t="s">
        <v>101</v>
      </c>
      <c r="I210" s="18" t="s">
        <v>12</v>
      </c>
      <c r="J210" s="21" t="s">
        <v>16</v>
      </c>
      <c r="K210" s="21"/>
      <c r="L210" s="21"/>
      <c r="M210" s="21"/>
    </row>
    <row r="211" spans="1:13" x14ac:dyDescent="0.25">
      <c r="A211" t="s">
        <v>17</v>
      </c>
      <c r="B211" s="16" t="s">
        <v>18</v>
      </c>
      <c r="C211" t="s">
        <v>14</v>
      </c>
      <c r="D211" t="str">
        <f t="shared" si="3"/>
        <v>SUN-Virgo-Cancer</v>
      </c>
      <c r="E211" s="17" t="s">
        <v>101</v>
      </c>
      <c r="F211" s="18" t="s">
        <v>12</v>
      </c>
      <c r="G211" s="19" t="s">
        <v>18</v>
      </c>
      <c r="H211" s="20" t="s">
        <v>103</v>
      </c>
      <c r="I211" s="18" t="s">
        <v>9</v>
      </c>
      <c r="J211" s="21" t="s">
        <v>16</v>
      </c>
      <c r="K211" s="21"/>
      <c r="L211" s="21"/>
      <c r="M211" s="21"/>
    </row>
    <row r="212" spans="1:13" x14ac:dyDescent="0.25">
      <c r="A212" t="s">
        <v>17</v>
      </c>
      <c r="B212" s="16" t="s">
        <v>18</v>
      </c>
      <c r="C212" t="s">
        <v>16</v>
      </c>
      <c r="D212" t="str">
        <f t="shared" si="3"/>
        <v>SUN-Virgo-Leo</v>
      </c>
      <c r="E212" s="17" t="s">
        <v>103</v>
      </c>
      <c r="F212" s="18" t="s">
        <v>9</v>
      </c>
      <c r="G212" s="19" t="s">
        <v>18</v>
      </c>
      <c r="H212" s="20" t="s">
        <v>98</v>
      </c>
      <c r="I212" s="18" t="s">
        <v>7</v>
      </c>
      <c r="J212" s="21" t="s">
        <v>16</v>
      </c>
      <c r="K212" s="21"/>
      <c r="L212" s="21"/>
      <c r="M212" s="21"/>
    </row>
    <row r="213" spans="1:13" x14ac:dyDescent="0.25">
      <c r="A213" t="s">
        <v>17</v>
      </c>
      <c r="B213" s="16" t="s">
        <v>18</v>
      </c>
      <c r="C213" t="s">
        <v>18</v>
      </c>
      <c r="D213" t="str">
        <f t="shared" ref="D213:D276" si="4">A213&amp;"-"&amp;B213&amp;"-"&amp;C213</f>
        <v>SUN-Virgo-Virgo</v>
      </c>
      <c r="E213" s="17" t="s">
        <v>98</v>
      </c>
      <c r="F213" s="18" t="s">
        <v>7</v>
      </c>
      <c r="G213" s="19" t="s">
        <v>18</v>
      </c>
      <c r="H213" s="20" t="s">
        <v>100</v>
      </c>
      <c r="I213" s="18" t="s">
        <v>29</v>
      </c>
      <c r="J213" s="21" t="s">
        <v>16</v>
      </c>
      <c r="K213" s="21"/>
      <c r="L213" s="21"/>
      <c r="M213" s="21"/>
    </row>
    <row r="214" spans="1:13" x14ac:dyDescent="0.25">
      <c r="A214" t="s">
        <v>17</v>
      </c>
      <c r="B214" s="16" t="s">
        <v>18</v>
      </c>
      <c r="C214" t="s">
        <v>10</v>
      </c>
      <c r="D214" t="str">
        <f t="shared" si="4"/>
        <v>SUN-Virgo-Libra</v>
      </c>
      <c r="E214" s="17" t="s">
        <v>100</v>
      </c>
      <c r="F214" s="18" t="s">
        <v>29</v>
      </c>
      <c r="G214" s="19" t="s">
        <v>18</v>
      </c>
      <c r="H214" s="20" t="s">
        <v>102</v>
      </c>
      <c r="I214" s="18" t="s">
        <v>27</v>
      </c>
      <c r="J214" s="21" t="s">
        <v>16</v>
      </c>
      <c r="K214" s="21"/>
      <c r="L214" s="21"/>
      <c r="M214" s="21"/>
    </row>
    <row r="215" spans="1:13" x14ac:dyDescent="0.25">
      <c r="A215" t="s">
        <v>17</v>
      </c>
      <c r="B215" s="16" t="s">
        <v>18</v>
      </c>
      <c r="C215" t="s">
        <v>21</v>
      </c>
      <c r="D215" t="str">
        <f t="shared" si="4"/>
        <v>SUN-Virgo-Scorpio</v>
      </c>
      <c r="E215" s="17" t="s">
        <v>102</v>
      </c>
      <c r="F215" s="18" t="s">
        <v>27</v>
      </c>
      <c r="G215" s="19" t="s">
        <v>18</v>
      </c>
      <c r="H215" s="20" t="s">
        <v>104</v>
      </c>
      <c r="I215" s="18" t="s">
        <v>25</v>
      </c>
      <c r="J215" s="21" t="s">
        <v>16</v>
      </c>
      <c r="K215" s="21"/>
      <c r="L215" s="21"/>
      <c r="M215" s="21"/>
    </row>
    <row r="216" spans="1:13" x14ac:dyDescent="0.25">
      <c r="A216" t="s">
        <v>17</v>
      </c>
      <c r="B216" s="16" t="s">
        <v>18</v>
      </c>
      <c r="C216" t="s">
        <v>23</v>
      </c>
      <c r="D216" t="str">
        <f t="shared" si="4"/>
        <v>SUN-Virgo-Sagittarius</v>
      </c>
      <c r="E216" s="17" t="s">
        <v>104</v>
      </c>
      <c r="F216" s="18" t="s">
        <v>25</v>
      </c>
      <c r="G216" s="19" t="s">
        <v>18</v>
      </c>
      <c r="H216" s="20" t="s">
        <v>105</v>
      </c>
      <c r="I216" s="18" t="s">
        <v>23</v>
      </c>
      <c r="J216" s="21" t="s">
        <v>16</v>
      </c>
      <c r="K216" s="21"/>
      <c r="L216" s="21"/>
      <c r="M216" s="21"/>
    </row>
    <row r="217" spans="1:13" x14ac:dyDescent="0.25">
      <c r="A217" t="s">
        <v>17</v>
      </c>
      <c r="B217" s="16" t="s">
        <v>18</v>
      </c>
      <c r="C217" t="s">
        <v>25</v>
      </c>
      <c r="D217" t="str">
        <f t="shared" si="4"/>
        <v>SUN-Virgo-Capricorn</v>
      </c>
      <c r="E217" s="17" t="s">
        <v>105</v>
      </c>
      <c r="F217" s="18" t="s">
        <v>23</v>
      </c>
      <c r="G217" s="19" t="s">
        <v>18</v>
      </c>
      <c r="H217" s="20" t="s">
        <v>106</v>
      </c>
      <c r="I217" s="18" t="s">
        <v>21</v>
      </c>
      <c r="J217" s="21" t="s">
        <v>16</v>
      </c>
      <c r="K217" s="21"/>
      <c r="L217" s="21"/>
      <c r="M217" s="21"/>
    </row>
    <row r="218" spans="1:13" x14ac:dyDescent="0.25">
      <c r="A218" t="s">
        <v>17</v>
      </c>
      <c r="B218" s="16" t="s">
        <v>18</v>
      </c>
      <c r="C218" t="s">
        <v>27</v>
      </c>
      <c r="D218" t="str">
        <f t="shared" si="4"/>
        <v>SUN-Virgo-Aquarius</v>
      </c>
      <c r="E218" s="17" t="s">
        <v>106</v>
      </c>
      <c r="F218" s="18" t="s">
        <v>21</v>
      </c>
      <c r="G218" s="19" t="s">
        <v>18</v>
      </c>
      <c r="H218" s="20" t="s">
        <v>107</v>
      </c>
      <c r="I218" s="18" t="s">
        <v>10</v>
      </c>
      <c r="J218" s="21" t="s">
        <v>16</v>
      </c>
      <c r="K218" s="21"/>
      <c r="L218" s="21"/>
      <c r="M218" s="21"/>
    </row>
    <row r="219" spans="1:13" x14ac:dyDescent="0.25">
      <c r="A219" t="s">
        <v>17</v>
      </c>
      <c r="B219" s="16" t="s">
        <v>18</v>
      </c>
      <c r="C219" t="s">
        <v>29</v>
      </c>
      <c r="D219" t="str">
        <f t="shared" si="4"/>
        <v>SUN-Virgo-Pisces</v>
      </c>
      <c r="E219" s="17" t="s">
        <v>107</v>
      </c>
      <c r="F219" s="18" t="s">
        <v>10</v>
      </c>
      <c r="G219" s="19" t="s">
        <v>18</v>
      </c>
      <c r="H219" s="20" t="s">
        <v>108</v>
      </c>
      <c r="I219" s="18" t="s">
        <v>18</v>
      </c>
      <c r="J219" s="21" t="s">
        <v>16</v>
      </c>
      <c r="K219" s="21"/>
      <c r="L219" s="21"/>
      <c r="M219" s="21"/>
    </row>
    <row r="220" spans="1:13" x14ac:dyDescent="0.25">
      <c r="A220" t="s">
        <v>17</v>
      </c>
      <c r="B220" s="16" t="s">
        <v>10</v>
      </c>
      <c r="C220" t="s">
        <v>7</v>
      </c>
      <c r="D220" t="str">
        <f t="shared" si="4"/>
        <v>SUN-Libra-Aries</v>
      </c>
      <c r="E220" s="17" t="s">
        <v>107</v>
      </c>
      <c r="F220" s="18" t="s">
        <v>10</v>
      </c>
      <c r="G220" s="19" t="s">
        <v>10</v>
      </c>
      <c r="H220" s="20" t="s">
        <v>109</v>
      </c>
      <c r="I220" s="22" t="s">
        <v>16</v>
      </c>
      <c r="J220" s="21" t="s">
        <v>16</v>
      </c>
      <c r="K220" s="21"/>
      <c r="L220" s="21"/>
      <c r="M220" s="21"/>
    </row>
    <row r="221" spans="1:13" x14ac:dyDescent="0.25">
      <c r="A221" t="s">
        <v>17</v>
      </c>
      <c r="B221" s="16" t="s">
        <v>10</v>
      </c>
      <c r="C221" t="s">
        <v>9</v>
      </c>
      <c r="D221" t="str">
        <f t="shared" si="4"/>
        <v>SUN-Libra-Taurus</v>
      </c>
      <c r="E221" s="17" t="s">
        <v>108</v>
      </c>
      <c r="F221" s="18" t="s">
        <v>18</v>
      </c>
      <c r="G221" s="19" t="s">
        <v>10</v>
      </c>
      <c r="H221" s="20" t="s">
        <v>99</v>
      </c>
      <c r="I221" s="18" t="s">
        <v>14</v>
      </c>
      <c r="J221" s="21" t="s">
        <v>16</v>
      </c>
      <c r="K221" s="21"/>
      <c r="L221" s="21"/>
      <c r="M221" s="21"/>
    </row>
    <row r="222" spans="1:13" x14ac:dyDescent="0.25">
      <c r="A222" t="s">
        <v>17</v>
      </c>
      <c r="B222" s="16" t="s">
        <v>10</v>
      </c>
      <c r="C222" t="s">
        <v>12</v>
      </c>
      <c r="D222" t="str">
        <f t="shared" si="4"/>
        <v>SUN-Libra-Gemini</v>
      </c>
      <c r="E222" s="17" t="s">
        <v>109</v>
      </c>
      <c r="F222" s="18" t="s">
        <v>16</v>
      </c>
      <c r="G222" s="19" t="s">
        <v>10</v>
      </c>
      <c r="H222" s="20" t="s">
        <v>101</v>
      </c>
      <c r="I222" s="18" t="s">
        <v>12</v>
      </c>
      <c r="J222" s="21" t="s">
        <v>16</v>
      </c>
      <c r="K222" s="21"/>
      <c r="L222" s="21"/>
      <c r="M222" s="21"/>
    </row>
    <row r="223" spans="1:13" x14ac:dyDescent="0.25">
      <c r="A223" t="s">
        <v>17</v>
      </c>
      <c r="B223" s="16" t="s">
        <v>10</v>
      </c>
      <c r="C223" t="s">
        <v>14</v>
      </c>
      <c r="D223" t="str">
        <f t="shared" si="4"/>
        <v>SUN-Libra-Cancer</v>
      </c>
      <c r="E223" s="17" t="s">
        <v>99</v>
      </c>
      <c r="F223" s="18" t="s">
        <v>14</v>
      </c>
      <c r="G223" s="19" t="s">
        <v>10</v>
      </c>
      <c r="H223" s="20" t="s">
        <v>103</v>
      </c>
      <c r="I223" s="18" t="s">
        <v>9</v>
      </c>
      <c r="J223" s="21" t="s">
        <v>16</v>
      </c>
      <c r="K223" s="21"/>
      <c r="L223" s="21"/>
      <c r="M223" s="21"/>
    </row>
    <row r="224" spans="1:13" x14ac:dyDescent="0.25">
      <c r="A224" t="s">
        <v>17</v>
      </c>
      <c r="B224" s="16" t="s">
        <v>10</v>
      </c>
      <c r="C224" t="s">
        <v>16</v>
      </c>
      <c r="D224" t="str">
        <f t="shared" si="4"/>
        <v>SUN-Libra-Leo</v>
      </c>
      <c r="E224" s="17" t="s">
        <v>101</v>
      </c>
      <c r="F224" s="18" t="s">
        <v>12</v>
      </c>
      <c r="G224" s="19" t="s">
        <v>10</v>
      </c>
      <c r="H224" s="20" t="s">
        <v>98</v>
      </c>
      <c r="I224" s="18" t="s">
        <v>7</v>
      </c>
      <c r="J224" s="21" t="s">
        <v>16</v>
      </c>
      <c r="K224" s="21"/>
      <c r="L224" s="21"/>
      <c r="M224" s="21"/>
    </row>
    <row r="225" spans="1:13" x14ac:dyDescent="0.25">
      <c r="A225" t="s">
        <v>17</v>
      </c>
      <c r="B225" s="16" t="s">
        <v>10</v>
      </c>
      <c r="C225" t="s">
        <v>18</v>
      </c>
      <c r="D225" t="str">
        <f t="shared" si="4"/>
        <v>SUN-Libra-Virgo</v>
      </c>
      <c r="E225" s="17" t="s">
        <v>103</v>
      </c>
      <c r="F225" s="18" t="s">
        <v>9</v>
      </c>
      <c r="G225" s="19" t="s">
        <v>10</v>
      </c>
      <c r="H225" s="20" t="s">
        <v>100</v>
      </c>
      <c r="I225" s="18" t="s">
        <v>29</v>
      </c>
      <c r="J225" s="21" t="s">
        <v>16</v>
      </c>
      <c r="K225" s="21"/>
      <c r="L225" s="21"/>
      <c r="M225" s="21"/>
    </row>
    <row r="226" spans="1:13" x14ac:dyDescent="0.25">
      <c r="A226" t="s">
        <v>17</v>
      </c>
      <c r="B226" s="16" t="s">
        <v>10</v>
      </c>
      <c r="C226" t="s">
        <v>10</v>
      </c>
      <c r="D226" t="str">
        <f t="shared" si="4"/>
        <v>SUN-Libra-Libra</v>
      </c>
      <c r="E226" s="17" t="s">
        <v>98</v>
      </c>
      <c r="F226" s="18" t="s">
        <v>7</v>
      </c>
      <c r="G226" s="19" t="s">
        <v>10</v>
      </c>
      <c r="H226" s="20" t="s">
        <v>102</v>
      </c>
      <c r="I226" s="18" t="s">
        <v>27</v>
      </c>
      <c r="J226" s="21" t="s">
        <v>16</v>
      </c>
      <c r="K226" s="21"/>
      <c r="L226" s="21"/>
      <c r="M226" s="21"/>
    </row>
    <row r="227" spans="1:13" x14ac:dyDescent="0.25">
      <c r="A227" t="s">
        <v>17</v>
      </c>
      <c r="B227" s="16" t="s">
        <v>10</v>
      </c>
      <c r="C227" t="s">
        <v>21</v>
      </c>
      <c r="D227" t="str">
        <f t="shared" si="4"/>
        <v>SUN-Libra-Scorpio</v>
      </c>
      <c r="E227" s="17" t="s">
        <v>100</v>
      </c>
      <c r="F227" s="18" t="s">
        <v>29</v>
      </c>
      <c r="G227" s="19" t="s">
        <v>10</v>
      </c>
      <c r="H227" s="20" t="s">
        <v>104</v>
      </c>
      <c r="I227" s="18" t="s">
        <v>25</v>
      </c>
      <c r="J227" s="21" t="s">
        <v>16</v>
      </c>
      <c r="K227" s="21"/>
      <c r="L227" s="21"/>
      <c r="M227" s="21"/>
    </row>
    <row r="228" spans="1:13" x14ac:dyDescent="0.25">
      <c r="A228" t="s">
        <v>17</v>
      </c>
      <c r="B228" s="16" t="s">
        <v>10</v>
      </c>
      <c r="C228" t="s">
        <v>23</v>
      </c>
      <c r="D228" t="str">
        <f t="shared" si="4"/>
        <v>SUN-Libra-Sagittarius</v>
      </c>
      <c r="E228" s="17" t="s">
        <v>102</v>
      </c>
      <c r="F228" s="18" t="s">
        <v>27</v>
      </c>
      <c r="G228" s="19" t="s">
        <v>10</v>
      </c>
      <c r="H228" s="20" t="s">
        <v>105</v>
      </c>
      <c r="I228" s="18" t="s">
        <v>23</v>
      </c>
      <c r="J228" s="21" t="s">
        <v>16</v>
      </c>
      <c r="K228" s="21"/>
      <c r="L228" s="21"/>
      <c r="M228" s="21"/>
    </row>
    <row r="229" spans="1:13" x14ac:dyDescent="0.25">
      <c r="A229" t="s">
        <v>17</v>
      </c>
      <c r="B229" s="16" t="s">
        <v>10</v>
      </c>
      <c r="C229" t="s">
        <v>25</v>
      </c>
      <c r="D229" t="str">
        <f t="shared" si="4"/>
        <v>SUN-Libra-Capricorn</v>
      </c>
      <c r="E229" s="17" t="s">
        <v>104</v>
      </c>
      <c r="F229" s="18" t="s">
        <v>25</v>
      </c>
      <c r="G229" s="19" t="s">
        <v>10</v>
      </c>
      <c r="H229" s="20" t="s">
        <v>106</v>
      </c>
      <c r="I229" s="18" t="s">
        <v>21</v>
      </c>
      <c r="J229" s="21" t="s">
        <v>16</v>
      </c>
      <c r="K229" s="21"/>
      <c r="L229" s="21"/>
      <c r="M229" s="21"/>
    </row>
    <row r="230" spans="1:13" x14ac:dyDescent="0.25">
      <c r="A230" t="s">
        <v>17</v>
      </c>
      <c r="B230" s="16" t="s">
        <v>10</v>
      </c>
      <c r="C230" t="s">
        <v>27</v>
      </c>
      <c r="D230" t="str">
        <f t="shared" si="4"/>
        <v>SUN-Libra-Aquarius</v>
      </c>
      <c r="E230" s="17" t="s">
        <v>105</v>
      </c>
      <c r="F230" s="18" t="s">
        <v>23</v>
      </c>
      <c r="G230" s="19" t="s">
        <v>10</v>
      </c>
      <c r="H230" s="20" t="s">
        <v>107</v>
      </c>
      <c r="I230" s="18" t="s">
        <v>10</v>
      </c>
      <c r="J230" s="21" t="s">
        <v>16</v>
      </c>
      <c r="K230" s="21"/>
      <c r="L230" s="21"/>
      <c r="M230" s="21"/>
    </row>
    <row r="231" spans="1:13" x14ac:dyDescent="0.25">
      <c r="A231" t="s">
        <v>17</v>
      </c>
      <c r="B231" s="16" t="s">
        <v>10</v>
      </c>
      <c r="C231" t="s">
        <v>29</v>
      </c>
      <c r="D231" t="str">
        <f t="shared" si="4"/>
        <v>SUN-Libra-Pisces</v>
      </c>
      <c r="E231" s="17" t="s">
        <v>106</v>
      </c>
      <c r="F231" s="18" t="s">
        <v>21</v>
      </c>
      <c r="G231" s="19" t="s">
        <v>10</v>
      </c>
      <c r="H231" s="20" t="s">
        <v>108</v>
      </c>
      <c r="I231" s="18" t="s">
        <v>18</v>
      </c>
      <c r="J231" s="21" t="s">
        <v>16</v>
      </c>
      <c r="K231" s="21"/>
      <c r="L231" s="21"/>
      <c r="M231" s="21"/>
    </row>
    <row r="232" spans="1:13" x14ac:dyDescent="0.25">
      <c r="A232" t="s">
        <v>17</v>
      </c>
      <c r="B232" s="16" t="s">
        <v>21</v>
      </c>
      <c r="C232" t="s">
        <v>7</v>
      </c>
      <c r="D232" t="str">
        <f t="shared" si="4"/>
        <v>SUN-Scorpio-Aries</v>
      </c>
      <c r="E232" s="17" t="s">
        <v>106</v>
      </c>
      <c r="F232" s="18" t="s">
        <v>21</v>
      </c>
      <c r="G232" s="19" t="s">
        <v>21</v>
      </c>
      <c r="H232" s="20" t="s">
        <v>109</v>
      </c>
      <c r="I232" s="22" t="s">
        <v>16</v>
      </c>
      <c r="J232" s="21" t="s">
        <v>16</v>
      </c>
      <c r="K232" s="21"/>
      <c r="L232" s="21"/>
      <c r="M232" s="21"/>
    </row>
    <row r="233" spans="1:13" x14ac:dyDescent="0.25">
      <c r="A233" t="s">
        <v>17</v>
      </c>
      <c r="B233" s="16" t="s">
        <v>21</v>
      </c>
      <c r="C233" t="s">
        <v>9</v>
      </c>
      <c r="D233" t="str">
        <f t="shared" si="4"/>
        <v>SUN-Scorpio-Taurus</v>
      </c>
      <c r="E233" s="17" t="s">
        <v>107</v>
      </c>
      <c r="F233" s="18" t="s">
        <v>10</v>
      </c>
      <c r="G233" s="19" t="s">
        <v>21</v>
      </c>
      <c r="H233" s="20" t="s">
        <v>99</v>
      </c>
      <c r="I233" s="18" t="s">
        <v>14</v>
      </c>
      <c r="J233" s="21" t="s">
        <v>16</v>
      </c>
      <c r="K233" s="21"/>
      <c r="L233" s="21"/>
      <c r="M233" s="21"/>
    </row>
    <row r="234" spans="1:13" x14ac:dyDescent="0.25">
      <c r="A234" t="s">
        <v>17</v>
      </c>
      <c r="B234" s="16" t="s">
        <v>21</v>
      </c>
      <c r="C234" t="s">
        <v>12</v>
      </c>
      <c r="D234" t="str">
        <f t="shared" si="4"/>
        <v>SUN-Scorpio-Gemini</v>
      </c>
      <c r="E234" s="17" t="s">
        <v>108</v>
      </c>
      <c r="F234" s="18" t="s">
        <v>18</v>
      </c>
      <c r="G234" s="19" t="s">
        <v>21</v>
      </c>
      <c r="H234" s="20" t="s">
        <v>101</v>
      </c>
      <c r="I234" s="18" t="s">
        <v>12</v>
      </c>
      <c r="J234" s="21" t="s">
        <v>16</v>
      </c>
      <c r="K234" s="21"/>
      <c r="L234" s="21"/>
      <c r="M234" s="21"/>
    </row>
    <row r="235" spans="1:13" x14ac:dyDescent="0.25">
      <c r="A235" t="s">
        <v>17</v>
      </c>
      <c r="B235" s="16" t="s">
        <v>21</v>
      </c>
      <c r="C235" t="s">
        <v>14</v>
      </c>
      <c r="D235" t="str">
        <f t="shared" si="4"/>
        <v>SUN-Scorpio-Cancer</v>
      </c>
      <c r="E235" s="17" t="s">
        <v>109</v>
      </c>
      <c r="F235" s="18" t="s">
        <v>16</v>
      </c>
      <c r="G235" s="19" t="s">
        <v>21</v>
      </c>
      <c r="H235" s="20" t="s">
        <v>103</v>
      </c>
      <c r="I235" s="18" t="s">
        <v>9</v>
      </c>
      <c r="J235" s="21" t="s">
        <v>16</v>
      </c>
      <c r="K235" s="21"/>
      <c r="L235" s="21"/>
      <c r="M235" s="21"/>
    </row>
    <row r="236" spans="1:13" x14ac:dyDescent="0.25">
      <c r="A236" t="s">
        <v>17</v>
      </c>
      <c r="B236" s="16" t="s">
        <v>21</v>
      </c>
      <c r="C236" t="s">
        <v>16</v>
      </c>
      <c r="D236" t="str">
        <f t="shared" si="4"/>
        <v>SUN-Scorpio-Leo</v>
      </c>
      <c r="E236" s="17" t="s">
        <v>99</v>
      </c>
      <c r="F236" s="18" t="s">
        <v>14</v>
      </c>
      <c r="G236" s="19" t="s">
        <v>21</v>
      </c>
      <c r="H236" s="20" t="s">
        <v>98</v>
      </c>
      <c r="I236" s="18" t="s">
        <v>7</v>
      </c>
      <c r="J236" s="21" t="s">
        <v>16</v>
      </c>
      <c r="K236" s="21"/>
      <c r="L236" s="21"/>
      <c r="M236" s="21"/>
    </row>
    <row r="237" spans="1:13" x14ac:dyDescent="0.25">
      <c r="A237" t="s">
        <v>17</v>
      </c>
      <c r="B237" s="16" t="s">
        <v>21</v>
      </c>
      <c r="C237" t="s">
        <v>18</v>
      </c>
      <c r="D237" t="str">
        <f t="shared" si="4"/>
        <v>SUN-Scorpio-Virgo</v>
      </c>
      <c r="E237" s="17" t="s">
        <v>101</v>
      </c>
      <c r="F237" s="18" t="s">
        <v>12</v>
      </c>
      <c r="G237" s="19" t="s">
        <v>21</v>
      </c>
      <c r="H237" s="20" t="s">
        <v>100</v>
      </c>
      <c r="I237" s="18" t="s">
        <v>29</v>
      </c>
      <c r="J237" s="21" t="s">
        <v>16</v>
      </c>
      <c r="K237" s="21"/>
      <c r="L237" s="21"/>
      <c r="M237" s="21"/>
    </row>
    <row r="238" spans="1:13" x14ac:dyDescent="0.25">
      <c r="A238" t="s">
        <v>17</v>
      </c>
      <c r="B238" s="16" t="s">
        <v>21</v>
      </c>
      <c r="C238" t="s">
        <v>10</v>
      </c>
      <c r="D238" t="str">
        <f t="shared" si="4"/>
        <v>SUN-Scorpio-Libra</v>
      </c>
      <c r="E238" s="17" t="s">
        <v>103</v>
      </c>
      <c r="F238" s="18" t="s">
        <v>9</v>
      </c>
      <c r="G238" s="19" t="s">
        <v>21</v>
      </c>
      <c r="H238" s="20" t="s">
        <v>102</v>
      </c>
      <c r="I238" s="18" t="s">
        <v>27</v>
      </c>
      <c r="J238" s="21" t="s">
        <v>16</v>
      </c>
      <c r="K238" s="21"/>
      <c r="L238" s="21"/>
      <c r="M238" s="21"/>
    </row>
    <row r="239" spans="1:13" x14ac:dyDescent="0.25">
      <c r="A239" t="s">
        <v>17</v>
      </c>
      <c r="B239" s="16" t="s">
        <v>21</v>
      </c>
      <c r="C239" t="s">
        <v>21</v>
      </c>
      <c r="D239" t="str">
        <f t="shared" si="4"/>
        <v>SUN-Scorpio-Scorpio</v>
      </c>
      <c r="E239" s="17" t="s">
        <v>98</v>
      </c>
      <c r="F239" s="18" t="s">
        <v>7</v>
      </c>
      <c r="G239" s="19" t="s">
        <v>21</v>
      </c>
      <c r="H239" s="20" t="s">
        <v>104</v>
      </c>
      <c r="I239" s="18" t="s">
        <v>25</v>
      </c>
      <c r="J239" s="21" t="s">
        <v>16</v>
      </c>
      <c r="K239" s="21"/>
      <c r="L239" s="21"/>
      <c r="M239" s="21"/>
    </row>
    <row r="240" spans="1:13" x14ac:dyDescent="0.25">
      <c r="A240" t="s">
        <v>17</v>
      </c>
      <c r="B240" s="16" t="s">
        <v>21</v>
      </c>
      <c r="C240" t="s">
        <v>23</v>
      </c>
      <c r="D240" t="str">
        <f t="shared" si="4"/>
        <v>SUN-Scorpio-Sagittarius</v>
      </c>
      <c r="E240" s="17" t="s">
        <v>100</v>
      </c>
      <c r="F240" s="18" t="s">
        <v>29</v>
      </c>
      <c r="G240" s="19" t="s">
        <v>21</v>
      </c>
      <c r="H240" s="20" t="s">
        <v>105</v>
      </c>
      <c r="I240" s="18" t="s">
        <v>23</v>
      </c>
      <c r="J240" s="21" t="s">
        <v>16</v>
      </c>
      <c r="K240" s="21"/>
      <c r="L240" s="21"/>
      <c r="M240" s="21"/>
    </row>
    <row r="241" spans="1:13" x14ac:dyDescent="0.25">
      <c r="A241" t="s">
        <v>17</v>
      </c>
      <c r="B241" s="16" t="s">
        <v>21</v>
      </c>
      <c r="C241" t="s">
        <v>25</v>
      </c>
      <c r="D241" t="str">
        <f t="shared" si="4"/>
        <v>SUN-Scorpio-Capricorn</v>
      </c>
      <c r="E241" s="17" t="s">
        <v>102</v>
      </c>
      <c r="F241" s="18" t="s">
        <v>27</v>
      </c>
      <c r="G241" s="19" t="s">
        <v>21</v>
      </c>
      <c r="H241" s="20" t="s">
        <v>106</v>
      </c>
      <c r="I241" s="18" t="s">
        <v>21</v>
      </c>
      <c r="J241" s="21" t="s">
        <v>16</v>
      </c>
      <c r="K241" s="21"/>
      <c r="L241" s="21"/>
      <c r="M241" s="21"/>
    </row>
    <row r="242" spans="1:13" x14ac:dyDescent="0.25">
      <c r="A242" t="s">
        <v>17</v>
      </c>
      <c r="B242" s="16" t="s">
        <v>21</v>
      </c>
      <c r="C242" t="s">
        <v>27</v>
      </c>
      <c r="D242" t="str">
        <f t="shared" si="4"/>
        <v>SUN-Scorpio-Aquarius</v>
      </c>
      <c r="E242" s="17" t="s">
        <v>104</v>
      </c>
      <c r="F242" s="18" t="s">
        <v>25</v>
      </c>
      <c r="G242" s="19" t="s">
        <v>21</v>
      </c>
      <c r="H242" s="20" t="s">
        <v>107</v>
      </c>
      <c r="I242" s="18" t="s">
        <v>10</v>
      </c>
      <c r="J242" s="21" t="s">
        <v>16</v>
      </c>
      <c r="K242" s="21"/>
      <c r="L242" s="21"/>
      <c r="M242" s="21"/>
    </row>
    <row r="243" spans="1:13" x14ac:dyDescent="0.25">
      <c r="A243" t="s">
        <v>17</v>
      </c>
      <c r="B243" s="16" t="s">
        <v>21</v>
      </c>
      <c r="C243" t="s">
        <v>29</v>
      </c>
      <c r="D243" t="str">
        <f t="shared" si="4"/>
        <v>SUN-Scorpio-Pisces</v>
      </c>
      <c r="E243" s="17" t="s">
        <v>105</v>
      </c>
      <c r="F243" s="18" t="s">
        <v>23</v>
      </c>
      <c r="G243" s="19" t="s">
        <v>21</v>
      </c>
      <c r="H243" s="20" t="s">
        <v>108</v>
      </c>
      <c r="I243" s="18" t="s">
        <v>18</v>
      </c>
      <c r="J243" s="21" t="s">
        <v>16</v>
      </c>
      <c r="K243" s="21"/>
      <c r="L243" s="21"/>
      <c r="M243" s="21"/>
    </row>
    <row r="244" spans="1:13" x14ac:dyDescent="0.25">
      <c r="A244" t="s">
        <v>17</v>
      </c>
      <c r="B244" s="16" t="s">
        <v>23</v>
      </c>
      <c r="C244" t="s">
        <v>7</v>
      </c>
      <c r="D244" t="str">
        <f t="shared" si="4"/>
        <v>SUN-Sagittarius-Aries</v>
      </c>
      <c r="E244" s="17" t="s">
        <v>105</v>
      </c>
      <c r="F244" s="18" t="s">
        <v>23</v>
      </c>
      <c r="G244" s="19" t="s">
        <v>23</v>
      </c>
      <c r="H244" s="20" t="s">
        <v>109</v>
      </c>
      <c r="I244" s="22" t="s">
        <v>16</v>
      </c>
      <c r="J244" s="21" t="s">
        <v>16</v>
      </c>
      <c r="K244" s="21"/>
      <c r="L244" s="21"/>
      <c r="M244" s="21"/>
    </row>
    <row r="245" spans="1:13" x14ac:dyDescent="0.25">
      <c r="A245" t="s">
        <v>17</v>
      </c>
      <c r="B245" s="16" t="s">
        <v>23</v>
      </c>
      <c r="C245" t="s">
        <v>9</v>
      </c>
      <c r="D245" t="str">
        <f t="shared" si="4"/>
        <v>SUN-Sagittarius-Taurus</v>
      </c>
      <c r="E245" s="17" t="s">
        <v>106</v>
      </c>
      <c r="F245" s="18" t="s">
        <v>21</v>
      </c>
      <c r="G245" s="19" t="s">
        <v>23</v>
      </c>
      <c r="H245" s="20" t="s">
        <v>99</v>
      </c>
      <c r="I245" s="18" t="s">
        <v>14</v>
      </c>
      <c r="J245" s="21" t="s">
        <v>16</v>
      </c>
      <c r="K245" s="21"/>
      <c r="L245" s="21"/>
      <c r="M245" s="21"/>
    </row>
    <row r="246" spans="1:13" x14ac:dyDescent="0.25">
      <c r="A246" t="s">
        <v>17</v>
      </c>
      <c r="B246" s="16" t="s">
        <v>23</v>
      </c>
      <c r="C246" t="s">
        <v>12</v>
      </c>
      <c r="D246" t="str">
        <f t="shared" si="4"/>
        <v>SUN-Sagittarius-Gemini</v>
      </c>
      <c r="E246" s="17" t="s">
        <v>107</v>
      </c>
      <c r="F246" s="18" t="s">
        <v>10</v>
      </c>
      <c r="G246" s="19" t="s">
        <v>23</v>
      </c>
      <c r="H246" s="20" t="s">
        <v>101</v>
      </c>
      <c r="I246" s="18" t="s">
        <v>12</v>
      </c>
      <c r="J246" s="21" t="s">
        <v>16</v>
      </c>
      <c r="K246" s="21"/>
      <c r="L246" s="21"/>
      <c r="M246" s="21"/>
    </row>
    <row r="247" spans="1:13" x14ac:dyDescent="0.25">
      <c r="A247" t="s">
        <v>17</v>
      </c>
      <c r="B247" s="16" t="s">
        <v>23</v>
      </c>
      <c r="C247" t="s">
        <v>14</v>
      </c>
      <c r="D247" t="str">
        <f t="shared" si="4"/>
        <v>SUN-Sagittarius-Cancer</v>
      </c>
      <c r="E247" s="17" t="s">
        <v>108</v>
      </c>
      <c r="F247" s="18" t="s">
        <v>18</v>
      </c>
      <c r="G247" s="19" t="s">
        <v>23</v>
      </c>
      <c r="H247" s="20" t="s">
        <v>103</v>
      </c>
      <c r="I247" s="18" t="s">
        <v>9</v>
      </c>
      <c r="J247" s="21" t="s">
        <v>16</v>
      </c>
      <c r="K247" s="21"/>
      <c r="L247" s="21"/>
      <c r="M247" s="21"/>
    </row>
    <row r="248" spans="1:13" x14ac:dyDescent="0.25">
      <c r="A248" t="s">
        <v>17</v>
      </c>
      <c r="B248" s="16" t="s">
        <v>23</v>
      </c>
      <c r="C248" t="s">
        <v>16</v>
      </c>
      <c r="D248" t="str">
        <f t="shared" si="4"/>
        <v>SUN-Sagittarius-Leo</v>
      </c>
      <c r="E248" s="17" t="s">
        <v>109</v>
      </c>
      <c r="F248" s="18" t="s">
        <v>16</v>
      </c>
      <c r="G248" s="19" t="s">
        <v>23</v>
      </c>
      <c r="H248" s="20" t="s">
        <v>98</v>
      </c>
      <c r="I248" s="18" t="s">
        <v>7</v>
      </c>
      <c r="J248" s="21" t="s">
        <v>16</v>
      </c>
      <c r="K248" s="21"/>
      <c r="L248" s="21"/>
      <c r="M248" s="21"/>
    </row>
    <row r="249" spans="1:13" x14ac:dyDescent="0.25">
      <c r="A249" t="s">
        <v>17</v>
      </c>
      <c r="B249" s="16" t="s">
        <v>23</v>
      </c>
      <c r="C249" t="s">
        <v>18</v>
      </c>
      <c r="D249" t="str">
        <f t="shared" si="4"/>
        <v>SUN-Sagittarius-Virgo</v>
      </c>
      <c r="E249" s="17" t="s">
        <v>99</v>
      </c>
      <c r="F249" s="18" t="s">
        <v>14</v>
      </c>
      <c r="G249" s="19" t="s">
        <v>23</v>
      </c>
      <c r="H249" s="20" t="s">
        <v>100</v>
      </c>
      <c r="I249" s="18" t="s">
        <v>29</v>
      </c>
      <c r="J249" s="21" t="s">
        <v>16</v>
      </c>
      <c r="K249" s="21"/>
      <c r="L249" s="21"/>
      <c r="M249" s="21"/>
    </row>
    <row r="250" spans="1:13" x14ac:dyDescent="0.25">
      <c r="A250" t="s">
        <v>17</v>
      </c>
      <c r="B250" s="16" t="s">
        <v>23</v>
      </c>
      <c r="C250" t="s">
        <v>10</v>
      </c>
      <c r="D250" t="str">
        <f t="shared" si="4"/>
        <v>SUN-Sagittarius-Libra</v>
      </c>
      <c r="E250" s="17" t="s">
        <v>101</v>
      </c>
      <c r="F250" s="18" t="s">
        <v>12</v>
      </c>
      <c r="G250" s="19" t="s">
        <v>23</v>
      </c>
      <c r="H250" s="20" t="s">
        <v>102</v>
      </c>
      <c r="I250" s="18" t="s">
        <v>27</v>
      </c>
      <c r="J250" s="21" t="s">
        <v>16</v>
      </c>
      <c r="K250" s="21"/>
      <c r="L250" s="21"/>
      <c r="M250" s="21"/>
    </row>
    <row r="251" spans="1:13" x14ac:dyDescent="0.25">
      <c r="A251" t="s">
        <v>17</v>
      </c>
      <c r="B251" s="16" t="s">
        <v>23</v>
      </c>
      <c r="C251" t="s">
        <v>21</v>
      </c>
      <c r="D251" t="str">
        <f t="shared" si="4"/>
        <v>SUN-Sagittarius-Scorpio</v>
      </c>
      <c r="E251" s="17" t="s">
        <v>103</v>
      </c>
      <c r="F251" s="18" t="s">
        <v>9</v>
      </c>
      <c r="G251" s="19" t="s">
        <v>23</v>
      </c>
      <c r="H251" s="20" t="s">
        <v>104</v>
      </c>
      <c r="I251" s="18" t="s">
        <v>25</v>
      </c>
      <c r="J251" s="21" t="s">
        <v>16</v>
      </c>
      <c r="K251" s="21"/>
      <c r="L251" s="21"/>
      <c r="M251" s="21"/>
    </row>
    <row r="252" spans="1:13" x14ac:dyDescent="0.25">
      <c r="A252" t="s">
        <v>17</v>
      </c>
      <c r="B252" s="16" t="s">
        <v>23</v>
      </c>
      <c r="C252" t="s">
        <v>23</v>
      </c>
      <c r="D252" t="str">
        <f t="shared" si="4"/>
        <v>SUN-Sagittarius-Sagittarius</v>
      </c>
      <c r="E252" s="17" t="s">
        <v>98</v>
      </c>
      <c r="F252" s="18" t="s">
        <v>7</v>
      </c>
      <c r="G252" s="19" t="s">
        <v>23</v>
      </c>
      <c r="H252" s="20" t="s">
        <v>105</v>
      </c>
      <c r="I252" s="18" t="s">
        <v>23</v>
      </c>
      <c r="J252" s="21" t="s">
        <v>16</v>
      </c>
      <c r="K252" s="21"/>
      <c r="L252" s="21"/>
      <c r="M252" s="21"/>
    </row>
    <row r="253" spans="1:13" x14ac:dyDescent="0.25">
      <c r="A253" t="s">
        <v>17</v>
      </c>
      <c r="B253" s="16" t="s">
        <v>23</v>
      </c>
      <c r="C253" t="s">
        <v>25</v>
      </c>
      <c r="D253" t="str">
        <f t="shared" si="4"/>
        <v>SUN-Sagittarius-Capricorn</v>
      </c>
      <c r="E253" s="17" t="s">
        <v>100</v>
      </c>
      <c r="F253" s="18" t="s">
        <v>29</v>
      </c>
      <c r="G253" s="19" t="s">
        <v>23</v>
      </c>
      <c r="H253" s="20" t="s">
        <v>106</v>
      </c>
      <c r="I253" s="18" t="s">
        <v>21</v>
      </c>
      <c r="J253" s="21" t="s">
        <v>16</v>
      </c>
      <c r="K253" s="21"/>
      <c r="L253" s="21"/>
      <c r="M253" s="21"/>
    </row>
    <row r="254" spans="1:13" x14ac:dyDescent="0.25">
      <c r="A254" t="s">
        <v>17</v>
      </c>
      <c r="B254" s="16" t="s">
        <v>23</v>
      </c>
      <c r="C254" t="s">
        <v>27</v>
      </c>
      <c r="D254" t="str">
        <f t="shared" si="4"/>
        <v>SUN-Sagittarius-Aquarius</v>
      </c>
      <c r="E254" s="17" t="s">
        <v>102</v>
      </c>
      <c r="F254" s="18" t="s">
        <v>27</v>
      </c>
      <c r="G254" s="19" t="s">
        <v>23</v>
      </c>
      <c r="H254" s="20" t="s">
        <v>107</v>
      </c>
      <c r="I254" s="18" t="s">
        <v>10</v>
      </c>
      <c r="J254" s="21" t="s">
        <v>16</v>
      </c>
      <c r="K254" s="21"/>
      <c r="L254" s="21"/>
      <c r="M254" s="21"/>
    </row>
    <row r="255" spans="1:13" x14ac:dyDescent="0.25">
      <c r="A255" t="s">
        <v>17</v>
      </c>
      <c r="B255" s="16" t="s">
        <v>23</v>
      </c>
      <c r="C255" t="s">
        <v>29</v>
      </c>
      <c r="D255" t="str">
        <f t="shared" si="4"/>
        <v>SUN-Sagittarius-Pisces</v>
      </c>
      <c r="E255" s="17" t="s">
        <v>104</v>
      </c>
      <c r="F255" s="18" t="s">
        <v>25</v>
      </c>
      <c r="G255" s="19" t="s">
        <v>23</v>
      </c>
      <c r="H255" s="20" t="s">
        <v>108</v>
      </c>
      <c r="I255" s="18" t="s">
        <v>18</v>
      </c>
      <c r="J255" s="21" t="s">
        <v>16</v>
      </c>
      <c r="K255" s="21"/>
      <c r="L255" s="21"/>
      <c r="M255" s="21"/>
    </row>
    <row r="256" spans="1:13" x14ac:dyDescent="0.25">
      <c r="A256" t="s">
        <v>17</v>
      </c>
      <c r="B256" s="16" t="s">
        <v>25</v>
      </c>
      <c r="C256" t="s">
        <v>7</v>
      </c>
      <c r="D256" t="str">
        <f t="shared" si="4"/>
        <v>SUN-Capricorn-Aries</v>
      </c>
      <c r="E256" s="17" t="s">
        <v>104</v>
      </c>
      <c r="F256" s="18" t="s">
        <v>25</v>
      </c>
      <c r="G256" s="19" t="s">
        <v>25</v>
      </c>
      <c r="H256" s="20" t="s">
        <v>109</v>
      </c>
      <c r="I256" s="22" t="s">
        <v>16</v>
      </c>
      <c r="J256" s="21" t="s">
        <v>16</v>
      </c>
      <c r="K256" s="21"/>
      <c r="L256" s="21"/>
      <c r="M256" s="21"/>
    </row>
    <row r="257" spans="1:13" x14ac:dyDescent="0.25">
      <c r="A257" t="s">
        <v>17</v>
      </c>
      <c r="B257" s="16" t="s">
        <v>25</v>
      </c>
      <c r="C257" t="s">
        <v>9</v>
      </c>
      <c r="D257" t="str">
        <f t="shared" si="4"/>
        <v>SUN-Capricorn-Taurus</v>
      </c>
      <c r="E257" s="17" t="s">
        <v>105</v>
      </c>
      <c r="F257" s="18" t="s">
        <v>23</v>
      </c>
      <c r="G257" s="19" t="s">
        <v>25</v>
      </c>
      <c r="H257" s="20" t="s">
        <v>99</v>
      </c>
      <c r="I257" s="18" t="s">
        <v>14</v>
      </c>
      <c r="J257" s="21" t="s">
        <v>16</v>
      </c>
      <c r="K257" s="21"/>
      <c r="L257" s="21"/>
      <c r="M257" s="21"/>
    </row>
    <row r="258" spans="1:13" x14ac:dyDescent="0.25">
      <c r="A258" t="s">
        <v>17</v>
      </c>
      <c r="B258" s="16" t="s">
        <v>25</v>
      </c>
      <c r="C258" t="s">
        <v>12</v>
      </c>
      <c r="D258" t="str">
        <f t="shared" si="4"/>
        <v>SUN-Capricorn-Gemini</v>
      </c>
      <c r="E258" s="17" t="s">
        <v>106</v>
      </c>
      <c r="F258" s="18" t="s">
        <v>21</v>
      </c>
      <c r="G258" s="19" t="s">
        <v>25</v>
      </c>
      <c r="H258" s="20" t="s">
        <v>101</v>
      </c>
      <c r="I258" s="18" t="s">
        <v>12</v>
      </c>
      <c r="J258" s="21" t="s">
        <v>16</v>
      </c>
      <c r="K258" s="21"/>
      <c r="L258" s="21"/>
      <c r="M258" s="21"/>
    </row>
    <row r="259" spans="1:13" x14ac:dyDescent="0.25">
      <c r="A259" t="s">
        <v>17</v>
      </c>
      <c r="B259" s="16" t="s">
        <v>25</v>
      </c>
      <c r="C259" t="s">
        <v>14</v>
      </c>
      <c r="D259" t="str">
        <f t="shared" si="4"/>
        <v>SUN-Capricorn-Cancer</v>
      </c>
      <c r="E259" s="17" t="s">
        <v>107</v>
      </c>
      <c r="F259" s="18" t="s">
        <v>10</v>
      </c>
      <c r="G259" s="19" t="s">
        <v>25</v>
      </c>
      <c r="H259" s="20" t="s">
        <v>103</v>
      </c>
      <c r="I259" s="18" t="s">
        <v>9</v>
      </c>
      <c r="J259" s="21" t="s">
        <v>16</v>
      </c>
      <c r="K259" s="21"/>
      <c r="L259" s="21"/>
      <c r="M259" s="21"/>
    </row>
    <row r="260" spans="1:13" x14ac:dyDescent="0.25">
      <c r="A260" t="s">
        <v>17</v>
      </c>
      <c r="B260" s="16" t="s">
        <v>25</v>
      </c>
      <c r="C260" t="s">
        <v>16</v>
      </c>
      <c r="D260" t="str">
        <f t="shared" si="4"/>
        <v>SUN-Capricorn-Leo</v>
      </c>
      <c r="E260" s="17" t="s">
        <v>108</v>
      </c>
      <c r="F260" s="18" t="s">
        <v>18</v>
      </c>
      <c r="G260" s="19" t="s">
        <v>25</v>
      </c>
      <c r="H260" s="20" t="s">
        <v>98</v>
      </c>
      <c r="I260" s="18" t="s">
        <v>7</v>
      </c>
      <c r="J260" s="21" t="s">
        <v>16</v>
      </c>
      <c r="K260" s="21"/>
      <c r="L260" s="21"/>
      <c r="M260" s="21"/>
    </row>
    <row r="261" spans="1:13" x14ac:dyDescent="0.25">
      <c r="A261" t="s">
        <v>17</v>
      </c>
      <c r="B261" s="16" t="s">
        <v>25</v>
      </c>
      <c r="C261" t="s">
        <v>18</v>
      </c>
      <c r="D261" t="str">
        <f t="shared" si="4"/>
        <v>SUN-Capricorn-Virgo</v>
      </c>
      <c r="E261" s="17" t="s">
        <v>109</v>
      </c>
      <c r="F261" s="18" t="s">
        <v>16</v>
      </c>
      <c r="G261" s="19" t="s">
        <v>25</v>
      </c>
      <c r="H261" s="20" t="s">
        <v>100</v>
      </c>
      <c r="I261" s="18" t="s">
        <v>29</v>
      </c>
      <c r="J261" s="21" t="s">
        <v>16</v>
      </c>
      <c r="K261" s="21"/>
      <c r="L261" s="21"/>
      <c r="M261" s="21"/>
    </row>
    <row r="262" spans="1:13" x14ac:dyDescent="0.25">
      <c r="A262" t="s">
        <v>17</v>
      </c>
      <c r="B262" s="16" t="s">
        <v>25</v>
      </c>
      <c r="C262" t="s">
        <v>10</v>
      </c>
      <c r="D262" t="str">
        <f t="shared" si="4"/>
        <v>SUN-Capricorn-Libra</v>
      </c>
      <c r="E262" s="17" t="s">
        <v>99</v>
      </c>
      <c r="F262" s="18" t="s">
        <v>14</v>
      </c>
      <c r="G262" s="19" t="s">
        <v>25</v>
      </c>
      <c r="H262" s="20" t="s">
        <v>102</v>
      </c>
      <c r="I262" s="18" t="s">
        <v>27</v>
      </c>
      <c r="J262" s="21" t="s">
        <v>16</v>
      </c>
      <c r="K262" s="21"/>
      <c r="L262" s="21"/>
      <c r="M262" s="21"/>
    </row>
    <row r="263" spans="1:13" x14ac:dyDescent="0.25">
      <c r="A263" t="s">
        <v>17</v>
      </c>
      <c r="B263" s="16" t="s">
        <v>25</v>
      </c>
      <c r="C263" t="s">
        <v>21</v>
      </c>
      <c r="D263" t="str">
        <f t="shared" si="4"/>
        <v>SUN-Capricorn-Scorpio</v>
      </c>
      <c r="E263" s="17" t="s">
        <v>101</v>
      </c>
      <c r="F263" s="18" t="s">
        <v>12</v>
      </c>
      <c r="G263" s="19" t="s">
        <v>25</v>
      </c>
      <c r="H263" s="20" t="s">
        <v>104</v>
      </c>
      <c r="I263" s="18" t="s">
        <v>25</v>
      </c>
      <c r="J263" s="21" t="s">
        <v>16</v>
      </c>
      <c r="K263" s="21"/>
      <c r="L263" s="21"/>
      <c r="M263" s="21"/>
    </row>
    <row r="264" spans="1:13" x14ac:dyDescent="0.25">
      <c r="A264" t="s">
        <v>17</v>
      </c>
      <c r="B264" s="16" t="s">
        <v>25</v>
      </c>
      <c r="C264" t="s">
        <v>23</v>
      </c>
      <c r="D264" t="str">
        <f t="shared" si="4"/>
        <v>SUN-Capricorn-Sagittarius</v>
      </c>
      <c r="E264" s="17" t="s">
        <v>103</v>
      </c>
      <c r="F264" s="18" t="s">
        <v>9</v>
      </c>
      <c r="G264" s="19" t="s">
        <v>25</v>
      </c>
      <c r="H264" s="20" t="s">
        <v>105</v>
      </c>
      <c r="I264" s="18" t="s">
        <v>23</v>
      </c>
      <c r="J264" s="21" t="s">
        <v>16</v>
      </c>
      <c r="K264" s="21"/>
      <c r="L264" s="21"/>
      <c r="M264" s="21"/>
    </row>
    <row r="265" spans="1:13" x14ac:dyDescent="0.25">
      <c r="A265" t="s">
        <v>17</v>
      </c>
      <c r="B265" s="16" t="s">
        <v>25</v>
      </c>
      <c r="C265" t="s">
        <v>25</v>
      </c>
      <c r="D265" t="str">
        <f t="shared" si="4"/>
        <v>SUN-Capricorn-Capricorn</v>
      </c>
      <c r="E265" s="17" t="s">
        <v>98</v>
      </c>
      <c r="F265" s="18" t="s">
        <v>7</v>
      </c>
      <c r="G265" s="19" t="s">
        <v>25</v>
      </c>
      <c r="H265" s="20" t="s">
        <v>106</v>
      </c>
      <c r="I265" s="18" t="s">
        <v>21</v>
      </c>
      <c r="J265" s="21" t="s">
        <v>16</v>
      </c>
      <c r="K265" s="21"/>
      <c r="L265" s="21"/>
      <c r="M265" s="21"/>
    </row>
    <row r="266" spans="1:13" x14ac:dyDescent="0.25">
      <c r="A266" t="s">
        <v>17</v>
      </c>
      <c r="B266" s="16" t="s">
        <v>25</v>
      </c>
      <c r="C266" t="s">
        <v>27</v>
      </c>
      <c r="D266" t="str">
        <f t="shared" si="4"/>
        <v>SUN-Capricorn-Aquarius</v>
      </c>
      <c r="E266" s="17" t="s">
        <v>100</v>
      </c>
      <c r="F266" s="18" t="s">
        <v>29</v>
      </c>
      <c r="G266" s="19" t="s">
        <v>25</v>
      </c>
      <c r="H266" s="20" t="s">
        <v>107</v>
      </c>
      <c r="I266" s="18" t="s">
        <v>10</v>
      </c>
      <c r="J266" s="21" t="s">
        <v>16</v>
      </c>
      <c r="K266" s="21"/>
      <c r="L266" s="21"/>
      <c r="M266" s="21"/>
    </row>
    <row r="267" spans="1:13" x14ac:dyDescent="0.25">
      <c r="A267" t="s">
        <v>17</v>
      </c>
      <c r="B267" s="16" t="s">
        <v>25</v>
      </c>
      <c r="C267" t="s">
        <v>29</v>
      </c>
      <c r="D267" t="str">
        <f t="shared" si="4"/>
        <v>SUN-Capricorn-Pisces</v>
      </c>
      <c r="E267" s="17" t="s">
        <v>102</v>
      </c>
      <c r="F267" s="18" t="s">
        <v>27</v>
      </c>
      <c r="G267" s="19" t="s">
        <v>25</v>
      </c>
      <c r="H267" s="20" t="s">
        <v>108</v>
      </c>
      <c r="I267" s="18" t="s">
        <v>18</v>
      </c>
      <c r="J267" s="21" t="s">
        <v>16</v>
      </c>
      <c r="K267" s="21"/>
      <c r="L267" s="21"/>
      <c r="M267" s="21"/>
    </row>
    <row r="268" spans="1:13" x14ac:dyDescent="0.25">
      <c r="A268" t="s">
        <v>17</v>
      </c>
      <c r="B268" s="16" t="s">
        <v>27</v>
      </c>
      <c r="C268" t="s">
        <v>7</v>
      </c>
      <c r="D268" t="str">
        <f t="shared" si="4"/>
        <v>SUN-Aquarius-Aries</v>
      </c>
      <c r="E268" s="17" t="s">
        <v>102</v>
      </c>
      <c r="F268" s="18" t="s">
        <v>27</v>
      </c>
      <c r="G268" s="19" t="s">
        <v>27</v>
      </c>
      <c r="H268" s="20" t="s">
        <v>109</v>
      </c>
      <c r="I268" s="22" t="s">
        <v>16</v>
      </c>
      <c r="J268" s="21" t="s">
        <v>16</v>
      </c>
      <c r="K268" s="21"/>
      <c r="L268" s="21"/>
      <c r="M268" s="21"/>
    </row>
    <row r="269" spans="1:13" x14ac:dyDescent="0.25">
      <c r="A269" t="s">
        <v>17</v>
      </c>
      <c r="B269" s="16" t="s">
        <v>27</v>
      </c>
      <c r="C269" t="s">
        <v>9</v>
      </c>
      <c r="D269" t="str">
        <f t="shared" si="4"/>
        <v>SUN-Aquarius-Taurus</v>
      </c>
      <c r="E269" s="17" t="s">
        <v>104</v>
      </c>
      <c r="F269" s="18" t="s">
        <v>25</v>
      </c>
      <c r="G269" s="19" t="s">
        <v>27</v>
      </c>
      <c r="H269" s="20" t="s">
        <v>99</v>
      </c>
      <c r="I269" s="18" t="s">
        <v>14</v>
      </c>
      <c r="J269" s="21" t="s">
        <v>16</v>
      </c>
      <c r="K269" s="21"/>
      <c r="L269" s="21"/>
      <c r="M269" s="21"/>
    </row>
    <row r="270" spans="1:13" x14ac:dyDescent="0.25">
      <c r="A270" t="s">
        <v>17</v>
      </c>
      <c r="B270" s="16" t="s">
        <v>27</v>
      </c>
      <c r="C270" t="s">
        <v>12</v>
      </c>
      <c r="D270" t="str">
        <f t="shared" si="4"/>
        <v>SUN-Aquarius-Gemini</v>
      </c>
      <c r="E270" s="17" t="s">
        <v>105</v>
      </c>
      <c r="F270" s="18" t="s">
        <v>23</v>
      </c>
      <c r="G270" s="19" t="s">
        <v>27</v>
      </c>
      <c r="H270" s="20" t="s">
        <v>101</v>
      </c>
      <c r="I270" s="18" t="s">
        <v>12</v>
      </c>
      <c r="J270" s="21" t="s">
        <v>16</v>
      </c>
      <c r="K270" s="21"/>
      <c r="L270" s="21"/>
      <c r="M270" s="21"/>
    </row>
    <row r="271" spans="1:13" x14ac:dyDescent="0.25">
      <c r="A271" t="s">
        <v>17</v>
      </c>
      <c r="B271" s="16" t="s">
        <v>27</v>
      </c>
      <c r="C271" t="s">
        <v>14</v>
      </c>
      <c r="D271" t="str">
        <f t="shared" si="4"/>
        <v>SUN-Aquarius-Cancer</v>
      </c>
      <c r="E271" s="17" t="s">
        <v>106</v>
      </c>
      <c r="F271" s="18" t="s">
        <v>21</v>
      </c>
      <c r="G271" s="19" t="s">
        <v>27</v>
      </c>
      <c r="H271" s="20" t="s">
        <v>103</v>
      </c>
      <c r="I271" s="18" t="s">
        <v>9</v>
      </c>
      <c r="J271" s="21" t="s">
        <v>16</v>
      </c>
      <c r="K271" s="21"/>
      <c r="L271" s="21"/>
      <c r="M271" s="21"/>
    </row>
    <row r="272" spans="1:13" x14ac:dyDescent="0.25">
      <c r="A272" t="s">
        <v>17</v>
      </c>
      <c r="B272" s="16" t="s">
        <v>27</v>
      </c>
      <c r="C272" t="s">
        <v>16</v>
      </c>
      <c r="D272" t="str">
        <f t="shared" si="4"/>
        <v>SUN-Aquarius-Leo</v>
      </c>
      <c r="E272" s="17" t="s">
        <v>107</v>
      </c>
      <c r="F272" s="18" t="s">
        <v>10</v>
      </c>
      <c r="G272" s="19" t="s">
        <v>27</v>
      </c>
      <c r="H272" s="20" t="s">
        <v>98</v>
      </c>
      <c r="I272" s="18" t="s">
        <v>7</v>
      </c>
      <c r="J272" s="21" t="s">
        <v>16</v>
      </c>
      <c r="K272" s="21"/>
      <c r="L272" s="21"/>
      <c r="M272" s="21"/>
    </row>
    <row r="273" spans="1:13" x14ac:dyDescent="0.25">
      <c r="A273" t="s">
        <v>17</v>
      </c>
      <c r="B273" s="16" t="s">
        <v>27</v>
      </c>
      <c r="C273" t="s">
        <v>18</v>
      </c>
      <c r="D273" t="str">
        <f t="shared" si="4"/>
        <v>SUN-Aquarius-Virgo</v>
      </c>
      <c r="E273" s="17" t="s">
        <v>108</v>
      </c>
      <c r="F273" s="18" t="s">
        <v>18</v>
      </c>
      <c r="G273" s="19" t="s">
        <v>27</v>
      </c>
      <c r="H273" s="20" t="s">
        <v>100</v>
      </c>
      <c r="I273" s="18" t="s">
        <v>29</v>
      </c>
      <c r="J273" s="21" t="s">
        <v>16</v>
      </c>
      <c r="K273" s="21"/>
      <c r="L273" s="21"/>
      <c r="M273" s="21"/>
    </row>
    <row r="274" spans="1:13" x14ac:dyDescent="0.25">
      <c r="A274" t="s">
        <v>17</v>
      </c>
      <c r="B274" s="16" t="s">
        <v>27</v>
      </c>
      <c r="C274" t="s">
        <v>10</v>
      </c>
      <c r="D274" t="str">
        <f t="shared" si="4"/>
        <v>SUN-Aquarius-Libra</v>
      </c>
      <c r="E274" s="17" t="s">
        <v>109</v>
      </c>
      <c r="F274" s="18" t="s">
        <v>16</v>
      </c>
      <c r="G274" s="19" t="s">
        <v>27</v>
      </c>
      <c r="H274" s="20" t="s">
        <v>102</v>
      </c>
      <c r="I274" s="18" t="s">
        <v>27</v>
      </c>
      <c r="J274" s="21" t="s">
        <v>16</v>
      </c>
      <c r="K274" s="21"/>
      <c r="L274" s="21"/>
      <c r="M274" s="21"/>
    </row>
    <row r="275" spans="1:13" x14ac:dyDescent="0.25">
      <c r="A275" t="s">
        <v>17</v>
      </c>
      <c r="B275" s="16" t="s">
        <v>27</v>
      </c>
      <c r="C275" t="s">
        <v>21</v>
      </c>
      <c r="D275" t="str">
        <f t="shared" si="4"/>
        <v>SUN-Aquarius-Scorpio</v>
      </c>
      <c r="E275" s="17" t="s">
        <v>99</v>
      </c>
      <c r="F275" s="18" t="s">
        <v>14</v>
      </c>
      <c r="G275" s="19" t="s">
        <v>27</v>
      </c>
      <c r="H275" s="20" t="s">
        <v>104</v>
      </c>
      <c r="I275" s="18" t="s">
        <v>25</v>
      </c>
      <c r="J275" s="21" t="s">
        <v>16</v>
      </c>
      <c r="K275" s="21"/>
      <c r="L275" s="21"/>
      <c r="M275" s="21"/>
    </row>
    <row r="276" spans="1:13" x14ac:dyDescent="0.25">
      <c r="A276" t="s">
        <v>17</v>
      </c>
      <c r="B276" s="16" t="s">
        <v>27</v>
      </c>
      <c r="C276" t="s">
        <v>23</v>
      </c>
      <c r="D276" t="str">
        <f t="shared" si="4"/>
        <v>SUN-Aquarius-Sagittarius</v>
      </c>
      <c r="E276" s="17" t="s">
        <v>101</v>
      </c>
      <c r="F276" s="18" t="s">
        <v>12</v>
      </c>
      <c r="G276" s="19" t="s">
        <v>27</v>
      </c>
      <c r="H276" s="20" t="s">
        <v>105</v>
      </c>
      <c r="I276" s="18" t="s">
        <v>23</v>
      </c>
      <c r="J276" s="21" t="s">
        <v>16</v>
      </c>
      <c r="K276" s="21"/>
      <c r="L276" s="21"/>
      <c r="M276" s="21"/>
    </row>
    <row r="277" spans="1:13" x14ac:dyDescent="0.25">
      <c r="A277" t="s">
        <v>17</v>
      </c>
      <c r="B277" s="16" t="s">
        <v>27</v>
      </c>
      <c r="C277" t="s">
        <v>25</v>
      </c>
      <c r="D277" t="str">
        <f t="shared" ref="D277:D291" si="5">A277&amp;"-"&amp;B277&amp;"-"&amp;C277</f>
        <v>SUN-Aquarius-Capricorn</v>
      </c>
      <c r="E277" s="17" t="s">
        <v>103</v>
      </c>
      <c r="F277" s="18" t="s">
        <v>9</v>
      </c>
      <c r="G277" s="19" t="s">
        <v>27</v>
      </c>
      <c r="H277" s="20" t="s">
        <v>106</v>
      </c>
      <c r="I277" s="18" t="s">
        <v>21</v>
      </c>
      <c r="J277" s="21" t="s">
        <v>16</v>
      </c>
      <c r="K277" s="21"/>
      <c r="L277" s="21"/>
      <c r="M277" s="21"/>
    </row>
    <row r="278" spans="1:13" x14ac:dyDescent="0.25">
      <c r="A278" t="s">
        <v>17</v>
      </c>
      <c r="B278" s="16" t="s">
        <v>27</v>
      </c>
      <c r="C278" t="s">
        <v>27</v>
      </c>
      <c r="D278" t="str">
        <f t="shared" si="5"/>
        <v>SUN-Aquarius-Aquarius</v>
      </c>
      <c r="E278" s="17" t="s">
        <v>98</v>
      </c>
      <c r="F278" s="18" t="s">
        <v>7</v>
      </c>
      <c r="G278" s="19" t="s">
        <v>27</v>
      </c>
      <c r="H278" s="20" t="s">
        <v>107</v>
      </c>
      <c r="I278" s="18" t="s">
        <v>10</v>
      </c>
      <c r="J278" s="21" t="s">
        <v>16</v>
      </c>
      <c r="K278" s="21"/>
      <c r="L278" s="21"/>
      <c r="M278" s="21"/>
    </row>
    <row r="279" spans="1:13" x14ac:dyDescent="0.25">
      <c r="A279" t="s">
        <v>17</v>
      </c>
      <c r="B279" s="16" t="s">
        <v>27</v>
      </c>
      <c r="C279" t="s">
        <v>29</v>
      </c>
      <c r="D279" t="str">
        <f t="shared" si="5"/>
        <v>SUN-Aquarius-Pisces</v>
      </c>
      <c r="E279" s="17" t="s">
        <v>100</v>
      </c>
      <c r="F279" s="18" t="s">
        <v>29</v>
      </c>
      <c r="G279" s="19" t="s">
        <v>27</v>
      </c>
      <c r="H279" s="20" t="s">
        <v>108</v>
      </c>
      <c r="I279" s="18" t="s">
        <v>18</v>
      </c>
      <c r="J279" s="21" t="s">
        <v>16</v>
      </c>
      <c r="K279" s="21"/>
      <c r="L279" s="21"/>
      <c r="M279" s="21"/>
    </row>
    <row r="280" spans="1:13" x14ac:dyDescent="0.25">
      <c r="A280" t="s">
        <v>17</v>
      </c>
      <c r="B280" s="16" t="s">
        <v>29</v>
      </c>
      <c r="C280" t="s">
        <v>7</v>
      </c>
      <c r="D280" t="str">
        <f t="shared" si="5"/>
        <v>SUN-Pisces-Aries</v>
      </c>
      <c r="E280" s="17" t="s">
        <v>100</v>
      </c>
      <c r="F280" s="18" t="s">
        <v>29</v>
      </c>
      <c r="G280" s="19" t="s">
        <v>29</v>
      </c>
      <c r="H280" s="20" t="s">
        <v>109</v>
      </c>
      <c r="I280" s="22" t="s">
        <v>16</v>
      </c>
      <c r="J280" s="21" t="s">
        <v>16</v>
      </c>
      <c r="K280" s="21"/>
      <c r="L280" s="21"/>
      <c r="M280" s="21"/>
    </row>
    <row r="281" spans="1:13" x14ac:dyDescent="0.25">
      <c r="A281" t="s">
        <v>17</v>
      </c>
      <c r="B281" s="16" t="s">
        <v>29</v>
      </c>
      <c r="C281" t="s">
        <v>9</v>
      </c>
      <c r="D281" t="str">
        <f t="shared" si="5"/>
        <v>SUN-Pisces-Taurus</v>
      </c>
      <c r="E281" s="17" t="s">
        <v>102</v>
      </c>
      <c r="F281" s="18" t="s">
        <v>27</v>
      </c>
      <c r="G281" s="19" t="s">
        <v>29</v>
      </c>
      <c r="H281" s="20" t="s">
        <v>99</v>
      </c>
      <c r="I281" s="18" t="s">
        <v>14</v>
      </c>
      <c r="J281" s="21" t="s">
        <v>16</v>
      </c>
      <c r="K281" s="21"/>
      <c r="L281" s="21"/>
      <c r="M281" s="21"/>
    </row>
    <row r="282" spans="1:13" x14ac:dyDescent="0.25">
      <c r="A282" t="s">
        <v>17</v>
      </c>
      <c r="B282" s="16" t="s">
        <v>29</v>
      </c>
      <c r="C282" t="s">
        <v>12</v>
      </c>
      <c r="D282" t="str">
        <f t="shared" si="5"/>
        <v>SUN-Pisces-Gemini</v>
      </c>
      <c r="E282" s="17" t="s">
        <v>104</v>
      </c>
      <c r="F282" s="18" t="s">
        <v>25</v>
      </c>
      <c r="G282" s="19" t="s">
        <v>29</v>
      </c>
      <c r="H282" s="20" t="s">
        <v>101</v>
      </c>
      <c r="I282" s="18" t="s">
        <v>12</v>
      </c>
      <c r="J282" s="21" t="s">
        <v>16</v>
      </c>
      <c r="K282" s="21"/>
      <c r="L282" s="21"/>
      <c r="M282" s="21"/>
    </row>
    <row r="283" spans="1:13" x14ac:dyDescent="0.25">
      <c r="A283" t="s">
        <v>17</v>
      </c>
      <c r="B283" s="16" t="s">
        <v>29</v>
      </c>
      <c r="C283" t="s">
        <v>14</v>
      </c>
      <c r="D283" t="str">
        <f t="shared" si="5"/>
        <v>SUN-Pisces-Cancer</v>
      </c>
      <c r="E283" s="17" t="s">
        <v>105</v>
      </c>
      <c r="F283" s="18" t="s">
        <v>23</v>
      </c>
      <c r="G283" s="19" t="s">
        <v>29</v>
      </c>
      <c r="H283" s="20" t="s">
        <v>103</v>
      </c>
      <c r="I283" s="18" t="s">
        <v>9</v>
      </c>
      <c r="J283" s="21" t="s">
        <v>16</v>
      </c>
      <c r="K283" s="21"/>
      <c r="L283" s="21"/>
      <c r="M283" s="21"/>
    </row>
    <row r="284" spans="1:13" x14ac:dyDescent="0.25">
      <c r="A284" t="s">
        <v>17</v>
      </c>
      <c r="B284" s="16" t="s">
        <v>29</v>
      </c>
      <c r="C284" t="s">
        <v>16</v>
      </c>
      <c r="D284" t="str">
        <f t="shared" si="5"/>
        <v>SUN-Pisces-Leo</v>
      </c>
      <c r="E284" s="17" t="s">
        <v>106</v>
      </c>
      <c r="F284" s="18" t="s">
        <v>21</v>
      </c>
      <c r="G284" s="19" t="s">
        <v>29</v>
      </c>
      <c r="H284" s="20" t="s">
        <v>98</v>
      </c>
      <c r="I284" s="18" t="s">
        <v>7</v>
      </c>
      <c r="J284" s="21" t="s">
        <v>16</v>
      </c>
      <c r="K284" s="21"/>
      <c r="L284" s="21"/>
      <c r="M284" s="21"/>
    </row>
    <row r="285" spans="1:13" x14ac:dyDescent="0.25">
      <c r="A285" t="s">
        <v>17</v>
      </c>
      <c r="B285" s="16" t="s">
        <v>29</v>
      </c>
      <c r="C285" t="s">
        <v>18</v>
      </c>
      <c r="D285" t="str">
        <f t="shared" si="5"/>
        <v>SUN-Pisces-Virgo</v>
      </c>
      <c r="E285" s="17" t="s">
        <v>107</v>
      </c>
      <c r="F285" s="18" t="s">
        <v>10</v>
      </c>
      <c r="G285" s="19" t="s">
        <v>29</v>
      </c>
      <c r="H285" s="20" t="s">
        <v>100</v>
      </c>
      <c r="I285" s="18" t="s">
        <v>29</v>
      </c>
      <c r="J285" s="21" t="s">
        <v>16</v>
      </c>
      <c r="K285" s="21"/>
      <c r="L285" s="21"/>
      <c r="M285" s="21"/>
    </row>
    <row r="286" spans="1:13" x14ac:dyDescent="0.25">
      <c r="A286" t="s">
        <v>17</v>
      </c>
      <c r="B286" s="16" t="s">
        <v>29</v>
      </c>
      <c r="C286" t="s">
        <v>10</v>
      </c>
      <c r="D286" t="str">
        <f t="shared" si="5"/>
        <v>SUN-Pisces-Libra</v>
      </c>
      <c r="E286" s="17" t="s">
        <v>108</v>
      </c>
      <c r="F286" s="18" t="s">
        <v>18</v>
      </c>
      <c r="G286" s="19" t="s">
        <v>29</v>
      </c>
      <c r="H286" s="20" t="s">
        <v>102</v>
      </c>
      <c r="I286" s="18" t="s">
        <v>27</v>
      </c>
      <c r="J286" s="21" t="s">
        <v>16</v>
      </c>
      <c r="K286" s="21"/>
      <c r="L286" s="21"/>
      <c r="M286" s="21"/>
    </row>
    <row r="287" spans="1:13" x14ac:dyDescent="0.25">
      <c r="A287" t="s">
        <v>17</v>
      </c>
      <c r="B287" s="16" t="s">
        <v>29</v>
      </c>
      <c r="C287" t="s">
        <v>21</v>
      </c>
      <c r="D287" t="str">
        <f t="shared" si="5"/>
        <v>SUN-Pisces-Scorpio</v>
      </c>
      <c r="E287" s="17" t="s">
        <v>109</v>
      </c>
      <c r="F287" s="18" t="s">
        <v>16</v>
      </c>
      <c r="G287" s="19" t="s">
        <v>29</v>
      </c>
      <c r="H287" s="20" t="s">
        <v>104</v>
      </c>
      <c r="I287" s="18" t="s">
        <v>25</v>
      </c>
      <c r="J287" s="21" t="s">
        <v>16</v>
      </c>
      <c r="K287" s="21"/>
      <c r="L287" s="21"/>
      <c r="M287" s="21"/>
    </row>
    <row r="288" spans="1:13" x14ac:dyDescent="0.25">
      <c r="A288" t="s">
        <v>17</v>
      </c>
      <c r="B288" s="16" t="s">
        <v>29</v>
      </c>
      <c r="C288" t="s">
        <v>23</v>
      </c>
      <c r="D288" t="str">
        <f t="shared" si="5"/>
        <v>SUN-Pisces-Sagittarius</v>
      </c>
      <c r="E288" s="17" t="s">
        <v>99</v>
      </c>
      <c r="F288" s="18" t="s">
        <v>14</v>
      </c>
      <c r="G288" s="19" t="s">
        <v>29</v>
      </c>
      <c r="H288" s="20" t="s">
        <v>105</v>
      </c>
      <c r="I288" s="18" t="s">
        <v>23</v>
      </c>
      <c r="J288" s="21" t="s">
        <v>16</v>
      </c>
      <c r="K288" s="21"/>
      <c r="L288" s="21"/>
      <c r="M288" s="21"/>
    </row>
    <row r="289" spans="1:13" x14ac:dyDescent="0.25">
      <c r="A289" t="s">
        <v>17</v>
      </c>
      <c r="B289" s="16" t="s">
        <v>29</v>
      </c>
      <c r="C289" t="s">
        <v>25</v>
      </c>
      <c r="D289" t="str">
        <f t="shared" si="5"/>
        <v>SUN-Pisces-Capricorn</v>
      </c>
      <c r="E289" s="17" t="s">
        <v>101</v>
      </c>
      <c r="F289" s="18" t="s">
        <v>12</v>
      </c>
      <c r="G289" s="19" t="s">
        <v>29</v>
      </c>
      <c r="H289" s="20" t="s">
        <v>106</v>
      </c>
      <c r="I289" s="18" t="s">
        <v>21</v>
      </c>
      <c r="J289" s="21" t="s">
        <v>16</v>
      </c>
      <c r="K289" s="21"/>
      <c r="L289" s="21"/>
      <c r="M289" s="21"/>
    </row>
    <row r="290" spans="1:13" x14ac:dyDescent="0.25">
      <c r="A290" t="s">
        <v>17</v>
      </c>
      <c r="B290" s="16" t="s">
        <v>29</v>
      </c>
      <c r="C290" t="s">
        <v>27</v>
      </c>
      <c r="D290" t="str">
        <f t="shared" si="5"/>
        <v>SUN-Pisces-Aquarius</v>
      </c>
      <c r="E290" s="17" t="s">
        <v>103</v>
      </c>
      <c r="F290" s="18" t="s">
        <v>9</v>
      </c>
      <c r="G290" s="19" t="s">
        <v>29</v>
      </c>
      <c r="H290" s="20" t="s">
        <v>107</v>
      </c>
      <c r="I290" s="18" t="s">
        <v>10</v>
      </c>
      <c r="J290" s="21" t="s">
        <v>16</v>
      </c>
      <c r="K290" s="21"/>
      <c r="L290" s="21"/>
      <c r="M290" s="21"/>
    </row>
    <row r="291" spans="1:13" x14ac:dyDescent="0.25">
      <c r="A291" t="s">
        <v>17</v>
      </c>
      <c r="B291" s="16" t="s">
        <v>29</v>
      </c>
      <c r="C291" t="s">
        <v>29</v>
      </c>
      <c r="D291" t="str">
        <f t="shared" si="5"/>
        <v>SUN-Pisces-Pisces</v>
      </c>
      <c r="E291" s="17" t="s">
        <v>98</v>
      </c>
      <c r="F291" s="18" t="s">
        <v>7</v>
      </c>
      <c r="G291" s="19" t="s">
        <v>29</v>
      </c>
      <c r="H291" s="20" t="s">
        <v>108</v>
      </c>
      <c r="I291" s="18" t="s">
        <v>18</v>
      </c>
      <c r="J291" s="21" t="s">
        <v>16</v>
      </c>
      <c r="K291" s="21"/>
      <c r="L291" s="21"/>
      <c r="M291" s="21"/>
    </row>
    <row r="292" spans="1:13" x14ac:dyDescent="0.25">
      <c r="A292" t="s">
        <v>8</v>
      </c>
      <c r="B292" s="16" t="s">
        <v>7</v>
      </c>
      <c r="C292" t="s">
        <v>7</v>
      </c>
      <c r="D292" t="str">
        <f>A292&amp;"-"&amp;B292&amp;"-"&amp;C292</f>
        <v>MARS-Aries-Aries</v>
      </c>
      <c r="E292" s="17" t="s">
        <v>98</v>
      </c>
      <c r="F292" s="18" t="s">
        <v>7</v>
      </c>
      <c r="G292" s="19" t="s">
        <v>7</v>
      </c>
      <c r="H292" s="20" t="s">
        <v>110</v>
      </c>
      <c r="I292" s="22" t="s">
        <v>7</v>
      </c>
      <c r="J292" t="s">
        <v>7</v>
      </c>
    </row>
    <row r="293" spans="1:13" x14ac:dyDescent="0.25">
      <c r="A293" t="s">
        <v>8</v>
      </c>
      <c r="B293" s="16" t="s">
        <v>7</v>
      </c>
      <c r="C293" t="s">
        <v>9</v>
      </c>
      <c r="D293" t="str">
        <f t="shared" ref="D293:D356" si="6">A293&amp;"-"&amp;B293&amp;"-"&amp;C293</f>
        <v>MARS-Aries-Taurus</v>
      </c>
      <c r="E293" s="17" t="s">
        <v>100</v>
      </c>
      <c r="F293" s="18" t="s">
        <v>29</v>
      </c>
      <c r="G293" s="19" t="s">
        <v>7</v>
      </c>
      <c r="H293" s="20" t="s">
        <v>111</v>
      </c>
      <c r="I293" s="18" t="s">
        <v>29</v>
      </c>
      <c r="J293" t="s">
        <v>7</v>
      </c>
    </row>
    <row r="294" spans="1:13" x14ac:dyDescent="0.25">
      <c r="A294" t="s">
        <v>8</v>
      </c>
      <c r="B294" s="16" t="s">
        <v>7</v>
      </c>
      <c r="C294" t="s">
        <v>12</v>
      </c>
      <c r="D294" t="str">
        <f t="shared" si="6"/>
        <v>MARS-Aries-Gemini</v>
      </c>
      <c r="E294" s="17" t="s">
        <v>102</v>
      </c>
      <c r="F294" s="18" t="s">
        <v>27</v>
      </c>
      <c r="G294" s="19" t="s">
        <v>7</v>
      </c>
      <c r="H294" s="20" t="s">
        <v>112</v>
      </c>
      <c r="I294" s="18" t="s">
        <v>27</v>
      </c>
      <c r="J294" t="s">
        <v>7</v>
      </c>
    </row>
    <row r="295" spans="1:13" x14ac:dyDescent="0.25">
      <c r="A295" t="s">
        <v>8</v>
      </c>
      <c r="B295" s="16" t="s">
        <v>7</v>
      </c>
      <c r="C295" t="s">
        <v>14</v>
      </c>
      <c r="D295" t="str">
        <f t="shared" si="6"/>
        <v>MARS-Aries-Cancer</v>
      </c>
      <c r="E295" s="17" t="s">
        <v>104</v>
      </c>
      <c r="F295" s="18" t="s">
        <v>25</v>
      </c>
      <c r="G295" s="19" t="s">
        <v>7</v>
      </c>
      <c r="H295" s="20" t="s">
        <v>113</v>
      </c>
      <c r="I295" s="18" t="s">
        <v>25</v>
      </c>
      <c r="J295" t="s">
        <v>7</v>
      </c>
    </row>
    <row r="296" spans="1:13" x14ac:dyDescent="0.25">
      <c r="A296" t="s">
        <v>8</v>
      </c>
      <c r="B296" s="16" t="s">
        <v>7</v>
      </c>
      <c r="C296" t="s">
        <v>16</v>
      </c>
      <c r="D296" t="str">
        <f t="shared" si="6"/>
        <v>MARS-Aries-Leo</v>
      </c>
      <c r="E296" s="17" t="s">
        <v>105</v>
      </c>
      <c r="F296" s="18" t="s">
        <v>23</v>
      </c>
      <c r="G296" s="19" t="s">
        <v>7</v>
      </c>
      <c r="H296" s="20" t="s">
        <v>114</v>
      </c>
      <c r="I296" s="18" t="s">
        <v>23</v>
      </c>
      <c r="J296" t="s">
        <v>7</v>
      </c>
    </row>
    <row r="297" spans="1:13" x14ac:dyDescent="0.25">
      <c r="A297" t="s">
        <v>8</v>
      </c>
      <c r="B297" s="16" t="s">
        <v>7</v>
      </c>
      <c r="C297" t="s">
        <v>18</v>
      </c>
      <c r="D297" t="str">
        <f t="shared" si="6"/>
        <v>MARS-Aries-Virgo</v>
      </c>
      <c r="E297" s="17" t="s">
        <v>106</v>
      </c>
      <c r="F297" s="18" t="s">
        <v>21</v>
      </c>
      <c r="G297" s="19" t="s">
        <v>7</v>
      </c>
      <c r="H297" s="20" t="s">
        <v>115</v>
      </c>
      <c r="I297" s="18" t="s">
        <v>21</v>
      </c>
      <c r="J297" t="s">
        <v>7</v>
      </c>
    </row>
    <row r="298" spans="1:13" x14ac:dyDescent="0.25">
      <c r="A298" t="s">
        <v>8</v>
      </c>
      <c r="B298" s="16" t="s">
        <v>7</v>
      </c>
      <c r="C298" t="s">
        <v>10</v>
      </c>
      <c r="D298" t="str">
        <f t="shared" si="6"/>
        <v>MARS-Aries-Libra</v>
      </c>
      <c r="E298" s="17" t="s">
        <v>107</v>
      </c>
      <c r="F298" s="18" t="s">
        <v>10</v>
      </c>
      <c r="G298" s="19" t="s">
        <v>7</v>
      </c>
      <c r="H298" s="20" t="s">
        <v>116</v>
      </c>
      <c r="I298" s="18" t="s">
        <v>10</v>
      </c>
      <c r="J298" t="s">
        <v>7</v>
      </c>
    </row>
    <row r="299" spans="1:13" x14ac:dyDescent="0.25">
      <c r="A299" t="s">
        <v>8</v>
      </c>
      <c r="B299" s="16" t="s">
        <v>7</v>
      </c>
      <c r="C299" t="s">
        <v>21</v>
      </c>
      <c r="D299" t="str">
        <f t="shared" si="6"/>
        <v>MARS-Aries-Scorpio</v>
      </c>
      <c r="E299" s="17" t="s">
        <v>108</v>
      </c>
      <c r="F299" s="18" t="s">
        <v>18</v>
      </c>
      <c r="G299" s="19" t="s">
        <v>7</v>
      </c>
      <c r="H299" s="20" t="s">
        <v>117</v>
      </c>
      <c r="I299" s="18" t="s">
        <v>18</v>
      </c>
      <c r="J299" t="s">
        <v>7</v>
      </c>
    </row>
    <row r="300" spans="1:13" x14ac:dyDescent="0.25">
      <c r="A300" t="s">
        <v>8</v>
      </c>
      <c r="B300" s="16" t="s">
        <v>7</v>
      </c>
      <c r="C300" t="s">
        <v>23</v>
      </c>
      <c r="D300" t="str">
        <f t="shared" si="6"/>
        <v>MARS-Aries-Sagittarius</v>
      </c>
      <c r="E300" s="17" t="s">
        <v>109</v>
      </c>
      <c r="F300" s="18" t="s">
        <v>16</v>
      </c>
      <c r="G300" s="19" t="s">
        <v>7</v>
      </c>
      <c r="H300" s="20" t="s">
        <v>118</v>
      </c>
      <c r="I300" s="18" t="s">
        <v>16</v>
      </c>
      <c r="J300" t="s">
        <v>7</v>
      </c>
    </row>
    <row r="301" spans="1:13" x14ac:dyDescent="0.25">
      <c r="A301" t="s">
        <v>8</v>
      </c>
      <c r="B301" s="16" t="s">
        <v>7</v>
      </c>
      <c r="C301" t="s">
        <v>25</v>
      </c>
      <c r="D301" t="str">
        <f t="shared" si="6"/>
        <v>MARS-Aries-Capricorn</v>
      </c>
      <c r="E301" s="17" t="s">
        <v>99</v>
      </c>
      <c r="F301" s="18" t="s">
        <v>14</v>
      </c>
      <c r="G301" s="19" t="s">
        <v>7</v>
      </c>
      <c r="H301" s="20" t="s">
        <v>119</v>
      </c>
      <c r="I301" s="18" t="s">
        <v>14</v>
      </c>
      <c r="J301" t="s">
        <v>7</v>
      </c>
    </row>
    <row r="302" spans="1:13" x14ac:dyDescent="0.25">
      <c r="A302" t="s">
        <v>8</v>
      </c>
      <c r="B302" s="16" t="s">
        <v>7</v>
      </c>
      <c r="C302" t="s">
        <v>27</v>
      </c>
      <c r="D302" t="str">
        <f t="shared" si="6"/>
        <v>MARS-Aries-Aquarius</v>
      </c>
      <c r="E302" s="17" t="s">
        <v>101</v>
      </c>
      <c r="F302" s="18" t="s">
        <v>12</v>
      </c>
      <c r="G302" s="19" t="s">
        <v>7</v>
      </c>
      <c r="H302" s="20" t="s">
        <v>120</v>
      </c>
      <c r="I302" s="18" t="s">
        <v>12</v>
      </c>
      <c r="J302" t="s">
        <v>7</v>
      </c>
    </row>
    <row r="303" spans="1:13" x14ac:dyDescent="0.25">
      <c r="A303" t="s">
        <v>8</v>
      </c>
      <c r="B303" s="16" t="s">
        <v>7</v>
      </c>
      <c r="C303" t="s">
        <v>29</v>
      </c>
      <c r="D303" t="str">
        <f t="shared" si="6"/>
        <v>MARS-Aries-Pisces</v>
      </c>
      <c r="E303" s="17" t="s">
        <v>103</v>
      </c>
      <c r="F303" s="18" t="s">
        <v>9</v>
      </c>
      <c r="G303" s="19" t="s">
        <v>7</v>
      </c>
      <c r="H303" s="20" t="s">
        <v>121</v>
      </c>
      <c r="I303" s="18" t="s">
        <v>9</v>
      </c>
      <c r="J303" t="s">
        <v>7</v>
      </c>
    </row>
    <row r="304" spans="1:13" x14ac:dyDescent="0.25">
      <c r="A304" t="s">
        <v>8</v>
      </c>
      <c r="B304" s="16" t="s">
        <v>9</v>
      </c>
      <c r="C304" t="s">
        <v>7</v>
      </c>
      <c r="D304" t="str">
        <f t="shared" si="6"/>
        <v>MARS-Taurus-Aries</v>
      </c>
      <c r="E304" s="17" t="s">
        <v>103</v>
      </c>
      <c r="F304" s="18" t="s">
        <v>9</v>
      </c>
      <c r="G304" s="19" t="s">
        <v>9</v>
      </c>
      <c r="H304" s="20" t="s">
        <v>110</v>
      </c>
      <c r="I304" s="22" t="s">
        <v>7</v>
      </c>
      <c r="J304" t="s">
        <v>7</v>
      </c>
    </row>
    <row r="305" spans="1:10" x14ac:dyDescent="0.25">
      <c r="A305" t="s">
        <v>8</v>
      </c>
      <c r="B305" s="16" t="s">
        <v>9</v>
      </c>
      <c r="C305" t="s">
        <v>9</v>
      </c>
      <c r="D305" t="str">
        <f t="shared" si="6"/>
        <v>MARS-Taurus-Taurus</v>
      </c>
      <c r="E305" s="17" t="s">
        <v>98</v>
      </c>
      <c r="F305" s="18" t="s">
        <v>7</v>
      </c>
      <c r="G305" s="19" t="s">
        <v>9</v>
      </c>
      <c r="H305" s="20" t="s">
        <v>111</v>
      </c>
      <c r="I305" s="18" t="s">
        <v>29</v>
      </c>
      <c r="J305" t="s">
        <v>7</v>
      </c>
    </row>
    <row r="306" spans="1:10" x14ac:dyDescent="0.25">
      <c r="A306" t="s">
        <v>8</v>
      </c>
      <c r="B306" s="16" t="s">
        <v>9</v>
      </c>
      <c r="C306" t="s">
        <v>12</v>
      </c>
      <c r="D306" t="str">
        <f t="shared" si="6"/>
        <v>MARS-Taurus-Gemini</v>
      </c>
      <c r="E306" s="17" t="s">
        <v>100</v>
      </c>
      <c r="F306" s="18" t="s">
        <v>29</v>
      </c>
      <c r="G306" s="19" t="s">
        <v>9</v>
      </c>
      <c r="H306" s="20" t="s">
        <v>112</v>
      </c>
      <c r="I306" s="18" t="s">
        <v>27</v>
      </c>
      <c r="J306" t="s">
        <v>7</v>
      </c>
    </row>
    <row r="307" spans="1:10" x14ac:dyDescent="0.25">
      <c r="A307" t="s">
        <v>8</v>
      </c>
      <c r="B307" s="16" t="s">
        <v>9</v>
      </c>
      <c r="C307" t="s">
        <v>14</v>
      </c>
      <c r="D307" t="str">
        <f t="shared" si="6"/>
        <v>MARS-Taurus-Cancer</v>
      </c>
      <c r="E307" s="17" t="s">
        <v>102</v>
      </c>
      <c r="F307" s="18" t="s">
        <v>27</v>
      </c>
      <c r="G307" s="19" t="s">
        <v>9</v>
      </c>
      <c r="H307" s="20" t="s">
        <v>113</v>
      </c>
      <c r="I307" s="18" t="s">
        <v>25</v>
      </c>
      <c r="J307" t="s">
        <v>7</v>
      </c>
    </row>
    <row r="308" spans="1:10" x14ac:dyDescent="0.25">
      <c r="A308" t="s">
        <v>8</v>
      </c>
      <c r="B308" s="16" t="s">
        <v>9</v>
      </c>
      <c r="C308" t="s">
        <v>16</v>
      </c>
      <c r="D308" t="str">
        <f t="shared" si="6"/>
        <v>MARS-Taurus-Leo</v>
      </c>
      <c r="E308" s="17" t="s">
        <v>104</v>
      </c>
      <c r="F308" s="18" t="s">
        <v>25</v>
      </c>
      <c r="G308" s="19" t="s">
        <v>9</v>
      </c>
      <c r="H308" s="20" t="s">
        <v>114</v>
      </c>
      <c r="I308" s="18" t="s">
        <v>23</v>
      </c>
      <c r="J308" t="s">
        <v>7</v>
      </c>
    </row>
    <row r="309" spans="1:10" x14ac:dyDescent="0.25">
      <c r="A309" t="s">
        <v>8</v>
      </c>
      <c r="B309" s="16" t="s">
        <v>9</v>
      </c>
      <c r="C309" t="s">
        <v>18</v>
      </c>
      <c r="D309" t="str">
        <f t="shared" si="6"/>
        <v>MARS-Taurus-Virgo</v>
      </c>
      <c r="E309" s="17" t="s">
        <v>105</v>
      </c>
      <c r="F309" s="18" t="s">
        <v>23</v>
      </c>
      <c r="G309" s="19" t="s">
        <v>9</v>
      </c>
      <c r="H309" s="20" t="s">
        <v>115</v>
      </c>
      <c r="I309" s="18" t="s">
        <v>21</v>
      </c>
      <c r="J309" t="s">
        <v>7</v>
      </c>
    </row>
    <row r="310" spans="1:10" x14ac:dyDescent="0.25">
      <c r="A310" t="s">
        <v>8</v>
      </c>
      <c r="B310" s="16" t="s">
        <v>9</v>
      </c>
      <c r="C310" t="s">
        <v>10</v>
      </c>
      <c r="D310" t="str">
        <f t="shared" si="6"/>
        <v>MARS-Taurus-Libra</v>
      </c>
      <c r="E310" s="17" t="s">
        <v>106</v>
      </c>
      <c r="F310" s="18" t="s">
        <v>21</v>
      </c>
      <c r="G310" s="19" t="s">
        <v>9</v>
      </c>
      <c r="H310" s="20" t="s">
        <v>116</v>
      </c>
      <c r="I310" s="18" t="s">
        <v>10</v>
      </c>
      <c r="J310" t="s">
        <v>7</v>
      </c>
    </row>
    <row r="311" spans="1:10" x14ac:dyDescent="0.25">
      <c r="A311" t="s">
        <v>8</v>
      </c>
      <c r="B311" s="16" t="s">
        <v>9</v>
      </c>
      <c r="C311" t="s">
        <v>21</v>
      </c>
      <c r="D311" t="str">
        <f t="shared" si="6"/>
        <v>MARS-Taurus-Scorpio</v>
      </c>
      <c r="E311" s="17" t="s">
        <v>107</v>
      </c>
      <c r="F311" s="18" t="s">
        <v>10</v>
      </c>
      <c r="G311" s="19" t="s">
        <v>9</v>
      </c>
      <c r="H311" s="20" t="s">
        <v>117</v>
      </c>
      <c r="I311" s="18" t="s">
        <v>18</v>
      </c>
      <c r="J311" t="s">
        <v>7</v>
      </c>
    </row>
    <row r="312" spans="1:10" x14ac:dyDescent="0.25">
      <c r="A312" t="s">
        <v>8</v>
      </c>
      <c r="B312" s="16" t="s">
        <v>9</v>
      </c>
      <c r="C312" t="s">
        <v>23</v>
      </c>
      <c r="D312" t="str">
        <f t="shared" si="6"/>
        <v>MARS-Taurus-Sagittarius</v>
      </c>
      <c r="E312" s="17" t="s">
        <v>108</v>
      </c>
      <c r="F312" s="18" t="s">
        <v>18</v>
      </c>
      <c r="G312" s="19" t="s">
        <v>9</v>
      </c>
      <c r="H312" s="20" t="s">
        <v>118</v>
      </c>
      <c r="I312" s="18" t="s">
        <v>16</v>
      </c>
      <c r="J312" t="s">
        <v>7</v>
      </c>
    </row>
    <row r="313" spans="1:10" x14ac:dyDescent="0.25">
      <c r="A313" t="s">
        <v>8</v>
      </c>
      <c r="B313" s="16" t="s">
        <v>9</v>
      </c>
      <c r="C313" t="s">
        <v>25</v>
      </c>
      <c r="D313" t="str">
        <f t="shared" si="6"/>
        <v>MARS-Taurus-Capricorn</v>
      </c>
      <c r="E313" s="17" t="s">
        <v>109</v>
      </c>
      <c r="F313" s="18" t="s">
        <v>16</v>
      </c>
      <c r="G313" s="19" t="s">
        <v>9</v>
      </c>
      <c r="H313" s="20" t="s">
        <v>119</v>
      </c>
      <c r="I313" s="18" t="s">
        <v>14</v>
      </c>
      <c r="J313" t="s">
        <v>7</v>
      </c>
    </row>
    <row r="314" spans="1:10" x14ac:dyDescent="0.25">
      <c r="A314" t="s">
        <v>8</v>
      </c>
      <c r="B314" s="16" t="s">
        <v>9</v>
      </c>
      <c r="C314" t="s">
        <v>27</v>
      </c>
      <c r="D314" t="str">
        <f t="shared" si="6"/>
        <v>MARS-Taurus-Aquarius</v>
      </c>
      <c r="E314" s="17" t="s">
        <v>99</v>
      </c>
      <c r="F314" s="18" t="s">
        <v>14</v>
      </c>
      <c r="G314" s="19" t="s">
        <v>9</v>
      </c>
      <c r="H314" s="20" t="s">
        <v>120</v>
      </c>
      <c r="I314" s="18" t="s">
        <v>12</v>
      </c>
      <c r="J314" t="s">
        <v>7</v>
      </c>
    </row>
    <row r="315" spans="1:10" x14ac:dyDescent="0.25">
      <c r="A315" t="s">
        <v>8</v>
      </c>
      <c r="B315" s="16" t="s">
        <v>9</v>
      </c>
      <c r="C315" t="s">
        <v>29</v>
      </c>
      <c r="D315" t="str">
        <f t="shared" si="6"/>
        <v>MARS-Taurus-Pisces</v>
      </c>
      <c r="E315" s="17" t="s">
        <v>101</v>
      </c>
      <c r="F315" s="18" t="s">
        <v>12</v>
      </c>
      <c r="G315" s="19" t="s">
        <v>9</v>
      </c>
      <c r="H315" s="20" t="s">
        <v>121</v>
      </c>
      <c r="I315" s="18" t="s">
        <v>9</v>
      </c>
      <c r="J315" t="s">
        <v>7</v>
      </c>
    </row>
    <row r="316" spans="1:10" x14ac:dyDescent="0.25">
      <c r="A316" t="s">
        <v>8</v>
      </c>
      <c r="B316" s="16" t="s">
        <v>12</v>
      </c>
      <c r="C316" t="s">
        <v>7</v>
      </c>
      <c r="D316" t="str">
        <f t="shared" si="6"/>
        <v>MARS-Gemini-Aries</v>
      </c>
      <c r="E316" s="17" t="s">
        <v>101</v>
      </c>
      <c r="F316" s="18" t="s">
        <v>12</v>
      </c>
      <c r="G316" s="19" t="s">
        <v>12</v>
      </c>
      <c r="H316" s="20" t="s">
        <v>110</v>
      </c>
      <c r="I316" s="22" t="s">
        <v>7</v>
      </c>
      <c r="J316" t="s">
        <v>7</v>
      </c>
    </row>
    <row r="317" spans="1:10" x14ac:dyDescent="0.25">
      <c r="A317" t="s">
        <v>8</v>
      </c>
      <c r="B317" s="16" t="s">
        <v>12</v>
      </c>
      <c r="C317" t="s">
        <v>9</v>
      </c>
      <c r="D317" t="str">
        <f t="shared" si="6"/>
        <v>MARS-Gemini-Taurus</v>
      </c>
      <c r="E317" s="17" t="s">
        <v>103</v>
      </c>
      <c r="F317" s="18" t="s">
        <v>9</v>
      </c>
      <c r="G317" s="19" t="s">
        <v>12</v>
      </c>
      <c r="H317" s="20" t="s">
        <v>111</v>
      </c>
      <c r="I317" s="18" t="s">
        <v>29</v>
      </c>
      <c r="J317" t="s">
        <v>7</v>
      </c>
    </row>
    <row r="318" spans="1:10" x14ac:dyDescent="0.25">
      <c r="A318" t="s">
        <v>8</v>
      </c>
      <c r="B318" s="16" t="s">
        <v>12</v>
      </c>
      <c r="C318" t="s">
        <v>12</v>
      </c>
      <c r="D318" t="str">
        <f t="shared" si="6"/>
        <v>MARS-Gemini-Gemini</v>
      </c>
      <c r="E318" s="17" t="s">
        <v>98</v>
      </c>
      <c r="F318" s="18" t="s">
        <v>7</v>
      </c>
      <c r="G318" s="19" t="s">
        <v>12</v>
      </c>
      <c r="H318" s="20" t="s">
        <v>112</v>
      </c>
      <c r="I318" s="18" t="s">
        <v>27</v>
      </c>
      <c r="J318" t="s">
        <v>7</v>
      </c>
    </row>
    <row r="319" spans="1:10" x14ac:dyDescent="0.25">
      <c r="A319" t="s">
        <v>8</v>
      </c>
      <c r="B319" s="16" t="s">
        <v>12</v>
      </c>
      <c r="C319" t="s">
        <v>14</v>
      </c>
      <c r="D319" t="str">
        <f t="shared" si="6"/>
        <v>MARS-Gemini-Cancer</v>
      </c>
      <c r="E319" s="17" t="s">
        <v>100</v>
      </c>
      <c r="F319" s="18" t="s">
        <v>29</v>
      </c>
      <c r="G319" s="19" t="s">
        <v>12</v>
      </c>
      <c r="H319" s="20" t="s">
        <v>113</v>
      </c>
      <c r="I319" s="18" t="s">
        <v>25</v>
      </c>
      <c r="J319" t="s">
        <v>7</v>
      </c>
    </row>
    <row r="320" spans="1:10" x14ac:dyDescent="0.25">
      <c r="A320" t="s">
        <v>8</v>
      </c>
      <c r="B320" s="16" t="s">
        <v>12</v>
      </c>
      <c r="C320" t="s">
        <v>16</v>
      </c>
      <c r="D320" t="str">
        <f t="shared" si="6"/>
        <v>MARS-Gemini-Leo</v>
      </c>
      <c r="E320" s="17" t="s">
        <v>102</v>
      </c>
      <c r="F320" s="18" t="s">
        <v>27</v>
      </c>
      <c r="G320" s="19" t="s">
        <v>12</v>
      </c>
      <c r="H320" s="20" t="s">
        <v>114</v>
      </c>
      <c r="I320" s="18" t="s">
        <v>23</v>
      </c>
      <c r="J320" t="s">
        <v>7</v>
      </c>
    </row>
    <row r="321" spans="1:10" x14ac:dyDescent="0.25">
      <c r="A321" t="s">
        <v>8</v>
      </c>
      <c r="B321" s="16" t="s">
        <v>12</v>
      </c>
      <c r="C321" t="s">
        <v>18</v>
      </c>
      <c r="D321" t="str">
        <f t="shared" si="6"/>
        <v>MARS-Gemini-Virgo</v>
      </c>
      <c r="E321" s="17" t="s">
        <v>104</v>
      </c>
      <c r="F321" s="18" t="s">
        <v>25</v>
      </c>
      <c r="G321" s="19" t="s">
        <v>12</v>
      </c>
      <c r="H321" s="20" t="s">
        <v>115</v>
      </c>
      <c r="I321" s="18" t="s">
        <v>21</v>
      </c>
      <c r="J321" t="s">
        <v>7</v>
      </c>
    </row>
    <row r="322" spans="1:10" x14ac:dyDescent="0.25">
      <c r="A322" t="s">
        <v>8</v>
      </c>
      <c r="B322" s="16" t="s">
        <v>12</v>
      </c>
      <c r="C322" t="s">
        <v>10</v>
      </c>
      <c r="D322" t="str">
        <f t="shared" si="6"/>
        <v>MARS-Gemini-Libra</v>
      </c>
      <c r="E322" s="17" t="s">
        <v>105</v>
      </c>
      <c r="F322" s="18" t="s">
        <v>23</v>
      </c>
      <c r="G322" s="19" t="s">
        <v>12</v>
      </c>
      <c r="H322" s="20" t="s">
        <v>116</v>
      </c>
      <c r="I322" s="18" t="s">
        <v>10</v>
      </c>
      <c r="J322" t="s">
        <v>7</v>
      </c>
    </row>
    <row r="323" spans="1:10" x14ac:dyDescent="0.25">
      <c r="A323" t="s">
        <v>8</v>
      </c>
      <c r="B323" s="16" t="s">
        <v>12</v>
      </c>
      <c r="C323" t="s">
        <v>21</v>
      </c>
      <c r="D323" t="str">
        <f t="shared" si="6"/>
        <v>MARS-Gemini-Scorpio</v>
      </c>
      <c r="E323" s="17" t="s">
        <v>106</v>
      </c>
      <c r="F323" s="18" t="s">
        <v>21</v>
      </c>
      <c r="G323" s="19" t="s">
        <v>12</v>
      </c>
      <c r="H323" s="20" t="s">
        <v>117</v>
      </c>
      <c r="I323" s="18" t="s">
        <v>18</v>
      </c>
      <c r="J323" t="s">
        <v>7</v>
      </c>
    </row>
    <row r="324" spans="1:10" x14ac:dyDescent="0.25">
      <c r="A324" t="s">
        <v>8</v>
      </c>
      <c r="B324" s="16" t="s">
        <v>12</v>
      </c>
      <c r="C324" t="s">
        <v>23</v>
      </c>
      <c r="D324" t="str">
        <f t="shared" si="6"/>
        <v>MARS-Gemini-Sagittarius</v>
      </c>
      <c r="E324" s="17" t="s">
        <v>107</v>
      </c>
      <c r="F324" s="18" t="s">
        <v>10</v>
      </c>
      <c r="G324" s="19" t="s">
        <v>12</v>
      </c>
      <c r="H324" s="20" t="s">
        <v>118</v>
      </c>
      <c r="I324" s="18" t="s">
        <v>16</v>
      </c>
      <c r="J324" t="s">
        <v>7</v>
      </c>
    </row>
    <row r="325" spans="1:10" x14ac:dyDescent="0.25">
      <c r="A325" t="s">
        <v>8</v>
      </c>
      <c r="B325" s="16" t="s">
        <v>12</v>
      </c>
      <c r="C325" t="s">
        <v>25</v>
      </c>
      <c r="D325" t="str">
        <f t="shared" si="6"/>
        <v>MARS-Gemini-Capricorn</v>
      </c>
      <c r="E325" s="17" t="s">
        <v>108</v>
      </c>
      <c r="F325" s="18" t="s">
        <v>18</v>
      </c>
      <c r="G325" s="19" t="s">
        <v>12</v>
      </c>
      <c r="H325" s="20" t="s">
        <v>119</v>
      </c>
      <c r="I325" s="18" t="s">
        <v>14</v>
      </c>
      <c r="J325" t="s">
        <v>7</v>
      </c>
    </row>
    <row r="326" spans="1:10" x14ac:dyDescent="0.25">
      <c r="A326" t="s">
        <v>8</v>
      </c>
      <c r="B326" s="16" t="s">
        <v>12</v>
      </c>
      <c r="C326" t="s">
        <v>27</v>
      </c>
      <c r="D326" t="str">
        <f t="shared" si="6"/>
        <v>MARS-Gemini-Aquarius</v>
      </c>
      <c r="E326" s="17" t="s">
        <v>109</v>
      </c>
      <c r="F326" s="18" t="s">
        <v>16</v>
      </c>
      <c r="G326" s="19" t="s">
        <v>12</v>
      </c>
      <c r="H326" s="20" t="s">
        <v>120</v>
      </c>
      <c r="I326" s="18" t="s">
        <v>12</v>
      </c>
      <c r="J326" t="s">
        <v>7</v>
      </c>
    </row>
    <row r="327" spans="1:10" x14ac:dyDescent="0.25">
      <c r="A327" t="s">
        <v>8</v>
      </c>
      <c r="B327" s="16" t="s">
        <v>12</v>
      </c>
      <c r="C327" t="s">
        <v>29</v>
      </c>
      <c r="D327" t="str">
        <f t="shared" si="6"/>
        <v>MARS-Gemini-Pisces</v>
      </c>
      <c r="E327" s="17" t="s">
        <v>99</v>
      </c>
      <c r="F327" s="18" t="s">
        <v>14</v>
      </c>
      <c r="G327" s="19" t="s">
        <v>12</v>
      </c>
      <c r="H327" s="20" t="s">
        <v>121</v>
      </c>
      <c r="I327" s="18" t="s">
        <v>9</v>
      </c>
      <c r="J327" t="s">
        <v>7</v>
      </c>
    </row>
    <row r="328" spans="1:10" x14ac:dyDescent="0.25">
      <c r="A328" t="s">
        <v>8</v>
      </c>
      <c r="B328" s="16" t="s">
        <v>14</v>
      </c>
      <c r="C328" t="s">
        <v>7</v>
      </c>
      <c r="D328" t="str">
        <f t="shared" si="6"/>
        <v>MARS-Cancer-Aries</v>
      </c>
      <c r="E328" s="17" t="s">
        <v>99</v>
      </c>
      <c r="F328" s="18" t="s">
        <v>14</v>
      </c>
      <c r="G328" s="19" t="s">
        <v>14</v>
      </c>
      <c r="H328" s="20" t="s">
        <v>110</v>
      </c>
      <c r="I328" s="22" t="s">
        <v>7</v>
      </c>
      <c r="J328" t="s">
        <v>7</v>
      </c>
    </row>
    <row r="329" spans="1:10" x14ac:dyDescent="0.25">
      <c r="A329" t="s">
        <v>8</v>
      </c>
      <c r="B329" s="16" t="s">
        <v>14</v>
      </c>
      <c r="C329" t="s">
        <v>9</v>
      </c>
      <c r="D329" t="str">
        <f t="shared" si="6"/>
        <v>MARS-Cancer-Taurus</v>
      </c>
      <c r="E329" s="17" t="s">
        <v>101</v>
      </c>
      <c r="F329" s="18" t="s">
        <v>12</v>
      </c>
      <c r="G329" s="19" t="s">
        <v>14</v>
      </c>
      <c r="H329" s="20" t="s">
        <v>111</v>
      </c>
      <c r="I329" s="18" t="s">
        <v>29</v>
      </c>
      <c r="J329" t="s">
        <v>7</v>
      </c>
    </row>
    <row r="330" spans="1:10" x14ac:dyDescent="0.25">
      <c r="A330" t="s">
        <v>8</v>
      </c>
      <c r="B330" s="16" t="s">
        <v>14</v>
      </c>
      <c r="C330" t="s">
        <v>12</v>
      </c>
      <c r="D330" t="str">
        <f t="shared" si="6"/>
        <v>MARS-Cancer-Gemini</v>
      </c>
      <c r="E330" s="17" t="s">
        <v>103</v>
      </c>
      <c r="F330" s="18" t="s">
        <v>9</v>
      </c>
      <c r="G330" s="19" t="s">
        <v>14</v>
      </c>
      <c r="H330" s="20" t="s">
        <v>112</v>
      </c>
      <c r="I330" s="18" t="s">
        <v>27</v>
      </c>
      <c r="J330" t="s">
        <v>7</v>
      </c>
    </row>
    <row r="331" spans="1:10" x14ac:dyDescent="0.25">
      <c r="A331" t="s">
        <v>8</v>
      </c>
      <c r="B331" s="16" t="s">
        <v>14</v>
      </c>
      <c r="C331" t="s">
        <v>14</v>
      </c>
      <c r="D331" t="str">
        <f t="shared" si="6"/>
        <v>MARS-Cancer-Cancer</v>
      </c>
      <c r="E331" s="17" t="s">
        <v>98</v>
      </c>
      <c r="F331" s="18" t="s">
        <v>7</v>
      </c>
      <c r="G331" s="19" t="s">
        <v>14</v>
      </c>
      <c r="H331" s="20" t="s">
        <v>113</v>
      </c>
      <c r="I331" s="18" t="s">
        <v>25</v>
      </c>
      <c r="J331" t="s">
        <v>7</v>
      </c>
    </row>
    <row r="332" spans="1:10" x14ac:dyDescent="0.25">
      <c r="A332" t="s">
        <v>8</v>
      </c>
      <c r="B332" s="16" t="s">
        <v>14</v>
      </c>
      <c r="C332" t="s">
        <v>16</v>
      </c>
      <c r="D332" t="str">
        <f t="shared" si="6"/>
        <v>MARS-Cancer-Leo</v>
      </c>
      <c r="E332" s="17" t="s">
        <v>100</v>
      </c>
      <c r="F332" s="18" t="s">
        <v>29</v>
      </c>
      <c r="G332" s="19" t="s">
        <v>14</v>
      </c>
      <c r="H332" s="20" t="s">
        <v>114</v>
      </c>
      <c r="I332" s="18" t="s">
        <v>23</v>
      </c>
      <c r="J332" t="s">
        <v>7</v>
      </c>
    </row>
    <row r="333" spans="1:10" x14ac:dyDescent="0.25">
      <c r="A333" t="s">
        <v>8</v>
      </c>
      <c r="B333" s="16" t="s">
        <v>14</v>
      </c>
      <c r="C333" t="s">
        <v>18</v>
      </c>
      <c r="D333" t="str">
        <f t="shared" si="6"/>
        <v>MARS-Cancer-Virgo</v>
      </c>
      <c r="E333" s="17" t="s">
        <v>102</v>
      </c>
      <c r="F333" s="18" t="s">
        <v>27</v>
      </c>
      <c r="G333" s="19" t="s">
        <v>14</v>
      </c>
      <c r="H333" s="20" t="s">
        <v>115</v>
      </c>
      <c r="I333" s="18" t="s">
        <v>21</v>
      </c>
      <c r="J333" t="s">
        <v>7</v>
      </c>
    </row>
    <row r="334" spans="1:10" x14ac:dyDescent="0.25">
      <c r="A334" t="s">
        <v>8</v>
      </c>
      <c r="B334" s="16" t="s">
        <v>14</v>
      </c>
      <c r="C334" t="s">
        <v>10</v>
      </c>
      <c r="D334" t="str">
        <f t="shared" si="6"/>
        <v>MARS-Cancer-Libra</v>
      </c>
      <c r="E334" s="17" t="s">
        <v>104</v>
      </c>
      <c r="F334" s="18" t="s">
        <v>25</v>
      </c>
      <c r="G334" s="19" t="s">
        <v>14</v>
      </c>
      <c r="H334" s="20" t="s">
        <v>116</v>
      </c>
      <c r="I334" s="18" t="s">
        <v>10</v>
      </c>
      <c r="J334" t="s">
        <v>7</v>
      </c>
    </row>
    <row r="335" spans="1:10" x14ac:dyDescent="0.25">
      <c r="A335" t="s">
        <v>8</v>
      </c>
      <c r="B335" s="16" t="s">
        <v>14</v>
      </c>
      <c r="C335" t="s">
        <v>21</v>
      </c>
      <c r="D335" t="str">
        <f t="shared" si="6"/>
        <v>MARS-Cancer-Scorpio</v>
      </c>
      <c r="E335" s="17" t="s">
        <v>105</v>
      </c>
      <c r="F335" s="18" t="s">
        <v>23</v>
      </c>
      <c r="G335" s="19" t="s">
        <v>14</v>
      </c>
      <c r="H335" s="20" t="s">
        <v>117</v>
      </c>
      <c r="I335" s="18" t="s">
        <v>18</v>
      </c>
      <c r="J335" t="s">
        <v>7</v>
      </c>
    </row>
    <row r="336" spans="1:10" x14ac:dyDescent="0.25">
      <c r="A336" t="s">
        <v>8</v>
      </c>
      <c r="B336" s="16" t="s">
        <v>14</v>
      </c>
      <c r="C336" t="s">
        <v>23</v>
      </c>
      <c r="D336" t="str">
        <f t="shared" si="6"/>
        <v>MARS-Cancer-Sagittarius</v>
      </c>
      <c r="E336" s="17" t="s">
        <v>106</v>
      </c>
      <c r="F336" s="18" t="s">
        <v>21</v>
      </c>
      <c r="G336" s="19" t="s">
        <v>14</v>
      </c>
      <c r="H336" s="20" t="s">
        <v>118</v>
      </c>
      <c r="I336" s="18" t="s">
        <v>16</v>
      </c>
      <c r="J336" t="s">
        <v>7</v>
      </c>
    </row>
    <row r="337" spans="1:10" x14ac:dyDescent="0.25">
      <c r="A337" t="s">
        <v>8</v>
      </c>
      <c r="B337" s="16" t="s">
        <v>14</v>
      </c>
      <c r="C337" t="s">
        <v>25</v>
      </c>
      <c r="D337" t="str">
        <f t="shared" si="6"/>
        <v>MARS-Cancer-Capricorn</v>
      </c>
      <c r="E337" s="17" t="s">
        <v>107</v>
      </c>
      <c r="F337" s="18" t="s">
        <v>10</v>
      </c>
      <c r="G337" s="19" t="s">
        <v>14</v>
      </c>
      <c r="H337" s="20" t="s">
        <v>119</v>
      </c>
      <c r="I337" s="18" t="s">
        <v>14</v>
      </c>
      <c r="J337" t="s">
        <v>7</v>
      </c>
    </row>
    <row r="338" spans="1:10" x14ac:dyDescent="0.25">
      <c r="A338" t="s">
        <v>8</v>
      </c>
      <c r="B338" s="16" t="s">
        <v>14</v>
      </c>
      <c r="C338" t="s">
        <v>27</v>
      </c>
      <c r="D338" t="str">
        <f t="shared" si="6"/>
        <v>MARS-Cancer-Aquarius</v>
      </c>
      <c r="E338" s="17" t="s">
        <v>108</v>
      </c>
      <c r="F338" s="18" t="s">
        <v>18</v>
      </c>
      <c r="G338" s="19" t="s">
        <v>14</v>
      </c>
      <c r="H338" s="20" t="s">
        <v>120</v>
      </c>
      <c r="I338" s="18" t="s">
        <v>12</v>
      </c>
      <c r="J338" t="s">
        <v>7</v>
      </c>
    </row>
    <row r="339" spans="1:10" x14ac:dyDescent="0.25">
      <c r="A339" t="s">
        <v>8</v>
      </c>
      <c r="B339" s="16" t="s">
        <v>14</v>
      </c>
      <c r="C339" t="s">
        <v>29</v>
      </c>
      <c r="D339" t="str">
        <f t="shared" si="6"/>
        <v>MARS-Cancer-Pisces</v>
      </c>
      <c r="E339" s="17" t="s">
        <v>109</v>
      </c>
      <c r="F339" s="18" t="s">
        <v>16</v>
      </c>
      <c r="G339" s="19" t="s">
        <v>14</v>
      </c>
      <c r="H339" s="20" t="s">
        <v>121</v>
      </c>
      <c r="I339" s="18" t="s">
        <v>9</v>
      </c>
      <c r="J339" t="s">
        <v>7</v>
      </c>
    </row>
    <row r="340" spans="1:10" x14ac:dyDescent="0.25">
      <c r="A340" t="s">
        <v>8</v>
      </c>
      <c r="B340" s="16" t="s">
        <v>16</v>
      </c>
      <c r="C340" t="s">
        <v>7</v>
      </c>
      <c r="D340" t="str">
        <f t="shared" si="6"/>
        <v>MARS-Leo-Aries</v>
      </c>
      <c r="E340" s="17" t="s">
        <v>109</v>
      </c>
      <c r="F340" s="18" t="s">
        <v>16</v>
      </c>
      <c r="G340" s="19" t="s">
        <v>16</v>
      </c>
      <c r="H340" s="20" t="s">
        <v>110</v>
      </c>
      <c r="I340" s="22" t="s">
        <v>7</v>
      </c>
      <c r="J340" t="s">
        <v>7</v>
      </c>
    </row>
    <row r="341" spans="1:10" x14ac:dyDescent="0.25">
      <c r="A341" t="s">
        <v>8</v>
      </c>
      <c r="B341" s="16" t="s">
        <v>16</v>
      </c>
      <c r="C341" t="s">
        <v>9</v>
      </c>
      <c r="D341" t="str">
        <f t="shared" si="6"/>
        <v>MARS-Leo-Taurus</v>
      </c>
      <c r="E341" s="17" t="s">
        <v>99</v>
      </c>
      <c r="F341" s="18" t="s">
        <v>14</v>
      </c>
      <c r="G341" s="19" t="s">
        <v>16</v>
      </c>
      <c r="H341" s="20" t="s">
        <v>111</v>
      </c>
      <c r="I341" s="18" t="s">
        <v>29</v>
      </c>
      <c r="J341" t="s">
        <v>7</v>
      </c>
    </row>
    <row r="342" spans="1:10" x14ac:dyDescent="0.25">
      <c r="A342" t="s">
        <v>8</v>
      </c>
      <c r="B342" s="16" t="s">
        <v>16</v>
      </c>
      <c r="C342" t="s">
        <v>12</v>
      </c>
      <c r="D342" t="str">
        <f t="shared" si="6"/>
        <v>MARS-Leo-Gemini</v>
      </c>
      <c r="E342" s="17" t="s">
        <v>101</v>
      </c>
      <c r="F342" s="18" t="s">
        <v>12</v>
      </c>
      <c r="G342" s="19" t="s">
        <v>16</v>
      </c>
      <c r="H342" s="20" t="s">
        <v>112</v>
      </c>
      <c r="I342" s="18" t="s">
        <v>27</v>
      </c>
      <c r="J342" t="s">
        <v>7</v>
      </c>
    </row>
    <row r="343" spans="1:10" x14ac:dyDescent="0.25">
      <c r="A343" t="s">
        <v>8</v>
      </c>
      <c r="B343" s="16" t="s">
        <v>16</v>
      </c>
      <c r="C343" t="s">
        <v>14</v>
      </c>
      <c r="D343" t="str">
        <f t="shared" si="6"/>
        <v>MARS-Leo-Cancer</v>
      </c>
      <c r="E343" s="17" t="s">
        <v>103</v>
      </c>
      <c r="F343" s="18" t="s">
        <v>9</v>
      </c>
      <c r="G343" s="19" t="s">
        <v>16</v>
      </c>
      <c r="H343" s="20" t="s">
        <v>113</v>
      </c>
      <c r="I343" s="18" t="s">
        <v>25</v>
      </c>
      <c r="J343" t="s">
        <v>7</v>
      </c>
    </row>
    <row r="344" spans="1:10" x14ac:dyDescent="0.25">
      <c r="A344" t="s">
        <v>8</v>
      </c>
      <c r="B344" s="16" t="s">
        <v>16</v>
      </c>
      <c r="C344" t="s">
        <v>16</v>
      </c>
      <c r="D344" t="str">
        <f t="shared" si="6"/>
        <v>MARS-Leo-Leo</v>
      </c>
      <c r="E344" s="17" t="s">
        <v>98</v>
      </c>
      <c r="F344" s="18" t="s">
        <v>7</v>
      </c>
      <c r="G344" s="19" t="s">
        <v>16</v>
      </c>
      <c r="H344" s="20" t="s">
        <v>114</v>
      </c>
      <c r="I344" s="18" t="s">
        <v>23</v>
      </c>
      <c r="J344" t="s">
        <v>7</v>
      </c>
    </row>
    <row r="345" spans="1:10" x14ac:dyDescent="0.25">
      <c r="A345" t="s">
        <v>8</v>
      </c>
      <c r="B345" s="16" t="s">
        <v>16</v>
      </c>
      <c r="C345" t="s">
        <v>18</v>
      </c>
      <c r="D345" t="str">
        <f t="shared" si="6"/>
        <v>MARS-Leo-Virgo</v>
      </c>
      <c r="E345" s="17" t="s">
        <v>100</v>
      </c>
      <c r="F345" s="18" t="s">
        <v>29</v>
      </c>
      <c r="G345" s="19" t="s">
        <v>16</v>
      </c>
      <c r="H345" s="20" t="s">
        <v>115</v>
      </c>
      <c r="I345" s="18" t="s">
        <v>21</v>
      </c>
      <c r="J345" t="s">
        <v>7</v>
      </c>
    </row>
    <row r="346" spans="1:10" x14ac:dyDescent="0.25">
      <c r="A346" t="s">
        <v>8</v>
      </c>
      <c r="B346" s="16" t="s">
        <v>16</v>
      </c>
      <c r="C346" t="s">
        <v>10</v>
      </c>
      <c r="D346" t="str">
        <f t="shared" si="6"/>
        <v>MARS-Leo-Libra</v>
      </c>
      <c r="E346" s="17" t="s">
        <v>102</v>
      </c>
      <c r="F346" s="18" t="s">
        <v>27</v>
      </c>
      <c r="G346" s="19" t="s">
        <v>16</v>
      </c>
      <c r="H346" s="20" t="s">
        <v>116</v>
      </c>
      <c r="I346" s="18" t="s">
        <v>10</v>
      </c>
      <c r="J346" t="s">
        <v>7</v>
      </c>
    </row>
    <row r="347" spans="1:10" x14ac:dyDescent="0.25">
      <c r="A347" t="s">
        <v>8</v>
      </c>
      <c r="B347" s="16" t="s">
        <v>16</v>
      </c>
      <c r="C347" t="s">
        <v>21</v>
      </c>
      <c r="D347" t="str">
        <f t="shared" si="6"/>
        <v>MARS-Leo-Scorpio</v>
      </c>
      <c r="E347" s="17" t="s">
        <v>104</v>
      </c>
      <c r="F347" s="18" t="s">
        <v>25</v>
      </c>
      <c r="G347" s="19" t="s">
        <v>16</v>
      </c>
      <c r="H347" s="20" t="s">
        <v>117</v>
      </c>
      <c r="I347" s="18" t="s">
        <v>18</v>
      </c>
      <c r="J347" t="s">
        <v>7</v>
      </c>
    </row>
    <row r="348" spans="1:10" x14ac:dyDescent="0.25">
      <c r="A348" t="s">
        <v>8</v>
      </c>
      <c r="B348" s="16" t="s">
        <v>16</v>
      </c>
      <c r="C348" t="s">
        <v>23</v>
      </c>
      <c r="D348" t="str">
        <f t="shared" si="6"/>
        <v>MARS-Leo-Sagittarius</v>
      </c>
      <c r="E348" s="17" t="s">
        <v>105</v>
      </c>
      <c r="F348" s="18" t="s">
        <v>23</v>
      </c>
      <c r="G348" s="19" t="s">
        <v>16</v>
      </c>
      <c r="H348" s="20" t="s">
        <v>118</v>
      </c>
      <c r="I348" s="18" t="s">
        <v>16</v>
      </c>
      <c r="J348" t="s">
        <v>7</v>
      </c>
    </row>
    <row r="349" spans="1:10" x14ac:dyDescent="0.25">
      <c r="A349" t="s">
        <v>8</v>
      </c>
      <c r="B349" s="16" t="s">
        <v>16</v>
      </c>
      <c r="C349" t="s">
        <v>25</v>
      </c>
      <c r="D349" t="str">
        <f t="shared" si="6"/>
        <v>MARS-Leo-Capricorn</v>
      </c>
      <c r="E349" s="17" t="s">
        <v>106</v>
      </c>
      <c r="F349" s="18" t="s">
        <v>21</v>
      </c>
      <c r="G349" s="19" t="s">
        <v>16</v>
      </c>
      <c r="H349" s="20" t="s">
        <v>119</v>
      </c>
      <c r="I349" s="18" t="s">
        <v>14</v>
      </c>
      <c r="J349" t="s">
        <v>7</v>
      </c>
    </row>
    <row r="350" spans="1:10" x14ac:dyDescent="0.25">
      <c r="A350" t="s">
        <v>8</v>
      </c>
      <c r="B350" s="16" t="s">
        <v>16</v>
      </c>
      <c r="C350" t="s">
        <v>27</v>
      </c>
      <c r="D350" t="str">
        <f t="shared" si="6"/>
        <v>MARS-Leo-Aquarius</v>
      </c>
      <c r="E350" s="17" t="s">
        <v>107</v>
      </c>
      <c r="F350" s="18" t="s">
        <v>10</v>
      </c>
      <c r="G350" s="19" t="s">
        <v>16</v>
      </c>
      <c r="H350" s="20" t="s">
        <v>120</v>
      </c>
      <c r="I350" s="18" t="s">
        <v>12</v>
      </c>
      <c r="J350" t="s">
        <v>7</v>
      </c>
    </row>
    <row r="351" spans="1:10" x14ac:dyDescent="0.25">
      <c r="A351" t="s">
        <v>8</v>
      </c>
      <c r="B351" s="16" t="s">
        <v>16</v>
      </c>
      <c r="C351" t="s">
        <v>29</v>
      </c>
      <c r="D351" t="str">
        <f t="shared" si="6"/>
        <v>MARS-Leo-Pisces</v>
      </c>
      <c r="E351" s="17" t="s">
        <v>108</v>
      </c>
      <c r="F351" s="18" t="s">
        <v>18</v>
      </c>
      <c r="G351" s="19" t="s">
        <v>16</v>
      </c>
      <c r="H351" s="20" t="s">
        <v>121</v>
      </c>
      <c r="I351" s="18" t="s">
        <v>9</v>
      </c>
      <c r="J351" t="s">
        <v>7</v>
      </c>
    </row>
    <row r="352" spans="1:10" x14ac:dyDescent="0.25">
      <c r="A352" t="s">
        <v>8</v>
      </c>
      <c r="B352" s="16" t="s">
        <v>18</v>
      </c>
      <c r="C352" t="s">
        <v>7</v>
      </c>
      <c r="D352" t="str">
        <f t="shared" si="6"/>
        <v>MARS-Virgo-Aries</v>
      </c>
      <c r="E352" s="17" t="s">
        <v>108</v>
      </c>
      <c r="F352" s="18" t="s">
        <v>18</v>
      </c>
      <c r="G352" s="19" t="s">
        <v>18</v>
      </c>
      <c r="H352" s="20" t="s">
        <v>110</v>
      </c>
      <c r="I352" s="22" t="s">
        <v>7</v>
      </c>
      <c r="J352" t="s">
        <v>7</v>
      </c>
    </row>
    <row r="353" spans="1:10" x14ac:dyDescent="0.25">
      <c r="A353" t="s">
        <v>8</v>
      </c>
      <c r="B353" s="16" t="s">
        <v>18</v>
      </c>
      <c r="C353" t="s">
        <v>9</v>
      </c>
      <c r="D353" t="str">
        <f t="shared" si="6"/>
        <v>MARS-Virgo-Taurus</v>
      </c>
      <c r="E353" s="17" t="s">
        <v>109</v>
      </c>
      <c r="F353" s="18" t="s">
        <v>16</v>
      </c>
      <c r="G353" s="19" t="s">
        <v>18</v>
      </c>
      <c r="H353" s="20" t="s">
        <v>111</v>
      </c>
      <c r="I353" s="18" t="s">
        <v>29</v>
      </c>
      <c r="J353" t="s">
        <v>7</v>
      </c>
    </row>
    <row r="354" spans="1:10" x14ac:dyDescent="0.25">
      <c r="A354" t="s">
        <v>8</v>
      </c>
      <c r="B354" s="16" t="s">
        <v>18</v>
      </c>
      <c r="C354" t="s">
        <v>12</v>
      </c>
      <c r="D354" t="str">
        <f t="shared" si="6"/>
        <v>MARS-Virgo-Gemini</v>
      </c>
      <c r="E354" s="17" t="s">
        <v>99</v>
      </c>
      <c r="F354" s="18" t="s">
        <v>14</v>
      </c>
      <c r="G354" s="19" t="s">
        <v>18</v>
      </c>
      <c r="H354" s="20" t="s">
        <v>112</v>
      </c>
      <c r="I354" s="18" t="s">
        <v>27</v>
      </c>
      <c r="J354" t="s">
        <v>7</v>
      </c>
    </row>
    <row r="355" spans="1:10" x14ac:dyDescent="0.25">
      <c r="A355" t="s">
        <v>8</v>
      </c>
      <c r="B355" s="16" t="s">
        <v>18</v>
      </c>
      <c r="C355" t="s">
        <v>14</v>
      </c>
      <c r="D355" t="str">
        <f t="shared" si="6"/>
        <v>MARS-Virgo-Cancer</v>
      </c>
      <c r="E355" s="17" t="s">
        <v>101</v>
      </c>
      <c r="F355" s="18" t="s">
        <v>12</v>
      </c>
      <c r="G355" s="19" t="s">
        <v>18</v>
      </c>
      <c r="H355" s="20" t="s">
        <v>113</v>
      </c>
      <c r="I355" s="18" t="s">
        <v>25</v>
      </c>
      <c r="J355" t="s">
        <v>7</v>
      </c>
    </row>
    <row r="356" spans="1:10" x14ac:dyDescent="0.25">
      <c r="A356" t="s">
        <v>8</v>
      </c>
      <c r="B356" s="16" t="s">
        <v>18</v>
      </c>
      <c r="C356" t="s">
        <v>16</v>
      </c>
      <c r="D356" t="str">
        <f t="shared" si="6"/>
        <v>MARS-Virgo-Leo</v>
      </c>
      <c r="E356" s="17" t="s">
        <v>103</v>
      </c>
      <c r="F356" s="18" t="s">
        <v>9</v>
      </c>
      <c r="G356" s="19" t="s">
        <v>18</v>
      </c>
      <c r="H356" s="20" t="s">
        <v>114</v>
      </c>
      <c r="I356" s="18" t="s">
        <v>23</v>
      </c>
      <c r="J356" t="s">
        <v>7</v>
      </c>
    </row>
    <row r="357" spans="1:10" x14ac:dyDescent="0.25">
      <c r="A357" t="s">
        <v>8</v>
      </c>
      <c r="B357" s="16" t="s">
        <v>18</v>
      </c>
      <c r="C357" t="s">
        <v>18</v>
      </c>
      <c r="D357" t="str">
        <f t="shared" ref="D357:D420" si="7">A357&amp;"-"&amp;B357&amp;"-"&amp;C357</f>
        <v>MARS-Virgo-Virgo</v>
      </c>
      <c r="E357" s="17" t="s">
        <v>98</v>
      </c>
      <c r="F357" s="18" t="s">
        <v>7</v>
      </c>
      <c r="G357" s="19" t="s">
        <v>18</v>
      </c>
      <c r="H357" s="20" t="s">
        <v>115</v>
      </c>
      <c r="I357" s="18" t="s">
        <v>21</v>
      </c>
      <c r="J357" t="s">
        <v>7</v>
      </c>
    </row>
    <row r="358" spans="1:10" x14ac:dyDescent="0.25">
      <c r="A358" t="s">
        <v>8</v>
      </c>
      <c r="B358" s="16" t="s">
        <v>18</v>
      </c>
      <c r="C358" t="s">
        <v>10</v>
      </c>
      <c r="D358" t="str">
        <f t="shared" si="7"/>
        <v>MARS-Virgo-Libra</v>
      </c>
      <c r="E358" s="17" t="s">
        <v>100</v>
      </c>
      <c r="F358" s="18" t="s">
        <v>29</v>
      </c>
      <c r="G358" s="19" t="s">
        <v>18</v>
      </c>
      <c r="H358" s="20" t="s">
        <v>116</v>
      </c>
      <c r="I358" s="18" t="s">
        <v>10</v>
      </c>
      <c r="J358" t="s">
        <v>7</v>
      </c>
    </row>
    <row r="359" spans="1:10" x14ac:dyDescent="0.25">
      <c r="A359" t="s">
        <v>8</v>
      </c>
      <c r="B359" s="16" t="s">
        <v>18</v>
      </c>
      <c r="C359" t="s">
        <v>21</v>
      </c>
      <c r="D359" t="str">
        <f t="shared" si="7"/>
        <v>MARS-Virgo-Scorpio</v>
      </c>
      <c r="E359" s="17" t="s">
        <v>102</v>
      </c>
      <c r="F359" s="18" t="s">
        <v>27</v>
      </c>
      <c r="G359" s="19" t="s">
        <v>18</v>
      </c>
      <c r="H359" s="20" t="s">
        <v>117</v>
      </c>
      <c r="I359" s="18" t="s">
        <v>18</v>
      </c>
      <c r="J359" t="s">
        <v>7</v>
      </c>
    </row>
    <row r="360" spans="1:10" x14ac:dyDescent="0.25">
      <c r="A360" t="s">
        <v>8</v>
      </c>
      <c r="B360" s="16" t="s">
        <v>18</v>
      </c>
      <c r="C360" t="s">
        <v>23</v>
      </c>
      <c r="D360" t="str">
        <f t="shared" si="7"/>
        <v>MARS-Virgo-Sagittarius</v>
      </c>
      <c r="E360" s="17" t="s">
        <v>104</v>
      </c>
      <c r="F360" s="18" t="s">
        <v>25</v>
      </c>
      <c r="G360" s="19" t="s">
        <v>18</v>
      </c>
      <c r="H360" s="20" t="s">
        <v>118</v>
      </c>
      <c r="I360" s="18" t="s">
        <v>16</v>
      </c>
      <c r="J360" t="s">
        <v>7</v>
      </c>
    </row>
    <row r="361" spans="1:10" x14ac:dyDescent="0.25">
      <c r="A361" t="s">
        <v>8</v>
      </c>
      <c r="B361" s="16" t="s">
        <v>18</v>
      </c>
      <c r="C361" t="s">
        <v>25</v>
      </c>
      <c r="D361" t="str">
        <f t="shared" si="7"/>
        <v>MARS-Virgo-Capricorn</v>
      </c>
      <c r="E361" s="17" t="s">
        <v>105</v>
      </c>
      <c r="F361" s="18" t="s">
        <v>23</v>
      </c>
      <c r="G361" s="19" t="s">
        <v>18</v>
      </c>
      <c r="H361" s="20" t="s">
        <v>119</v>
      </c>
      <c r="I361" s="18" t="s">
        <v>14</v>
      </c>
      <c r="J361" t="s">
        <v>7</v>
      </c>
    </row>
    <row r="362" spans="1:10" x14ac:dyDescent="0.25">
      <c r="A362" t="s">
        <v>8</v>
      </c>
      <c r="B362" s="16" t="s">
        <v>18</v>
      </c>
      <c r="C362" t="s">
        <v>27</v>
      </c>
      <c r="D362" t="str">
        <f t="shared" si="7"/>
        <v>MARS-Virgo-Aquarius</v>
      </c>
      <c r="E362" s="17" t="s">
        <v>106</v>
      </c>
      <c r="F362" s="18" t="s">
        <v>21</v>
      </c>
      <c r="G362" s="19" t="s">
        <v>18</v>
      </c>
      <c r="H362" s="20" t="s">
        <v>120</v>
      </c>
      <c r="I362" s="18" t="s">
        <v>12</v>
      </c>
      <c r="J362" t="s">
        <v>7</v>
      </c>
    </row>
    <row r="363" spans="1:10" x14ac:dyDescent="0.25">
      <c r="A363" t="s">
        <v>8</v>
      </c>
      <c r="B363" s="16" t="s">
        <v>18</v>
      </c>
      <c r="C363" t="s">
        <v>29</v>
      </c>
      <c r="D363" t="str">
        <f t="shared" si="7"/>
        <v>MARS-Virgo-Pisces</v>
      </c>
      <c r="E363" s="17" t="s">
        <v>107</v>
      </c>
      <c r="F363" s="18" t="s">
        <v>10</v>
      </c>
      <c r="G363" s="19" t="s">
        <v>18</v>
      </c>
      <c r="H363" s="20" t="s">
        <v>121</v>
      </c>
      <c r="I363" s="18" t="s">
        <v>9</v>
      </c>
      <c r="J363" t="s">
        <v>7</v>
      </c>
    </row>
    <row r="364" spans="1:10" x14ac:dyDescent="0.25">
      <c r="A364" t="s">
        <v>8</v>
      </c>
      <c r="B364" s="16" t="s">
        <v>10</v>
      </c>
      <c r="C364" t="s">
        <v>7</v>
      </c>
      <c r="D364" t="str">
        <f t="shared" si="7"/>
        <v>MARS-Libra-Aries</v>
      </c>
      <c r="E364" s="17" t="s">
        <v>107</v>
      </c>
      <c r="F364" s="18" t="s">
        <v>10</v>
      </c>
      <c r="G364" s="19" t="s">
        <v>10</v>
      </c>
      <c r="H364" s="20" t="s">
        <v>110</v>
      </c>
      <c r="I364" s="22" t="s">
        <v>7</v>
      </c>
      <c r="J364" t="s">
        <v>7</v>
      </c>
    </row>
    <row r="365" spans="1:10" x14ac:dyDescent="0.25">
      <c r="A365" t="s">
        <v>8</v>
      </c>
      <c r="B365" s="16" t="s">
        <v>10</v>
      </c>
      <c r="C365" t="s">
        <v>9</v>
      </c>
      <c r="D365" t="str">
        <f t="shared" si="7"/>
        <v>MARS-Libra-Taurus</v>
      </c>
      <c r="E365" s="17" t="s">
        <v>108</v>
      </c>
      <c r="F365" s="18" t="s">
        <v>18</v>
      </c>
      <c r="G365" s="19" t="s">
        <v>10</v>
      </c>
      <c r="H365" s="20" t="s">
        <v>111</v>
      </c>
      <c r="I365" s="18" t="s">
        <v>29</v>
      </c>
      <c r="J365" t="s">
        <v>7</v>
      </c>
    </row>
    <row r="366" spans="1:10" x14ac:dyDescent="0.25">
      <c r="A366" t="s">
        <v>8</v>
      </c>
      <c r="B366" s="16" t="s">
        <v>10</v>
      </c>
      <c r="C366" t="s">
        <v>12</v>
      </c>
      <c r="D366" t="str">
        <f t="shared" si="7"/>
        <v>MARS-Libra-Gemini</v>
      </c>
      <c r="E366" s="17" t="s">
        <v>109</v>
      </c>
      <c r="F366" s="18" t="s">
        <v>16</v>
      </c>
      <c r="G366" s="19" t="s">
        <v>10</v>
      </c>
      <c r="H366" s="20" t="s">
        <v>112</v>
      </c>
      <c r="I366" s="18" t="s">
        <v>27</v>
      </c>
      <c r="J366" t="s">
        <v>7</v>
      </c>
    </row>
    <row r="367" spans="1:10" x14ac:dyDescent="0.25">
      <c r="A367" t="s">
        <v>8</v>
      </c>
      <c r="B367" s="16" t="s">
        <v>10</v>
      </c>
      <c r="C367" t="s">
        <v>14</v>
      </c>
      <c r="D367" t="str">
        <f t="shared" si="7"/>
        <v>MARS-Libra-Cancer</v>
      </c>
      <c r="E367" s="17" t="s">
        <v>99</v>
      </c>
      <c r="F367" s="18" t="s">
        <v>14</v>
      </c>
      <c r="G367" s="19" t="s">
        <v>10</v>
      </c>
      <c r="H367" s="20" t="s">
        <v>113</v>
      </c>
      <c r="I367" s="18" t="s">
        <v>25</v>
      </c>
      <c r="J367" t="s">
        <v>7</v>
      </c>
    </row>
    <row r="368" spans="1:10" x14ac:dyDescent="0.25">
      <c r="A368" t="s">
        <v>8</v>
      </c>
      <c r="B368" s="16" t="s">
        <v>10</v>
      </c>
      <c r="C368" t="s">
        <v>16</v>
      </c>
      <c r="D368" t="str">
        <f t="shared" si="7"/>
        <v>MARS-Libra-Leo</v>
      </c>
      <c r="E368" s="17" t="s">
        <v>101</v>
      </c>
      <c r="F368" s="18" t="s">
        <v>12</v>
      </c>
      <c r="G368" s="19" t="s">
        <v>10</v>
      </c>
      <c r="H368" s="20" t="s">
        <v>114</v>
      </c>
      <c r="I368" s="18" t="s">
        <v>23</v>
      </c>
      <c r="J368" t="s">
        <v>7</v>
      </c>
    </row>
    <row r="369" spans="1:10" x14ac:dyDescent="0.25">
      <c r="A369" t="s">
        <v>8</v>
      </c>
      <c r="B369" s="16" t="s">
        <v>10</v>
      </c>
      <c r="C369" t="s">
        <v>18</v>
      </c>
      <c r="D369" t="str">
        <f t="shared" si="7"/>
        <v>MARS-Libra-Virgo</v>
      </c>
      <c r="E369" s="17" t="s">
        <v>103</v>
      </c>
      <c r="F369" s="18" t="s">
        <v>9</v>
      </c>
      <c r="G369" s="19" t="s">
        <v>10</v>
      </c>
      <c r="H369" s="20" t="s">
        <v>115</v>
      </c>
      <c r="I369" s="18" t="s">
        <v>21</v>
      </c>
      <c r="J369" t="s">
        <v>7</v>
      </c>
    </row>
    <row r="370" spans="1:10" x14ac:dyDescent="0.25">
      <c r="A370" t="s">
        <v>8</v>
      </c>
      <c r="B370" s="16" t="s">
        <v>10</v>
      </c>
      <c r="C370" t="s">
        <v>10</v>
      </c>
      <c r="D370" t="str">
        <f t="shared" si="7"/>
        <v>MARS-Libra-Libra</v>
      </c>
      <c r="E370" s="17" t="s">
        <v>98</v>
      </c>
      <c r="F370" s="18" t="s">
        <v>7</v>
      </c>
      <c r="G370" s="19" t="s">
        <v>10</v>
      </c>
      <c r="H370" s="20" t="s">
        <v>116</v>
      </c>
      <c r="I370" s="18" t="s">
        <v>10</v>
      </c>
      <c r="J370" t="s">
        <v>7</v>
      </c>
    </row>
    <row r="371" spans="1:10" x14ac:dyDescent="0.25">
      <c r="A371" t="s">
        <v>8</v>
      </c>
      <c r="B371" s="16" t="s">
        <v>10</v>
      </c>
      <c r="C371" t="s">
        <v>21</v>
      </c>
      <c r="D371" t="str">
        <f t="shared" si="7"/>
        <v>MARS-Libra-Scorpio</v>
      </c>
      <c r="E371" s="17" t="s">
        <v>100</v>
      </c>
      <c r="F371" s="18" t="s">
        <v>29</v>
      </c>
      <c r="G371" s="19" t="s">
        <v>10</v>
      </c>
      <c r="H371" s="20" t="s">
        <v>117</v>
      </c>
      <c r="I371" s="18" t="s">
        <v>18</v>
      </c>
      <c r="J371" t="s">
        <v>7</v>
      </c>
    </row>
    <row r="372" spans="1:10" x14ac:dyDescent="0.25">
      <c r="A372" t="s">
        <v>8</v>
      </c>
      <c r="B372" s="16" t="s">
        <v>10</v>
      </c>
      <c r="C372" t="s">
        <v>23</v>
      </c>
      <c r="D372" t="str">
        <f t="shared" si="7"/>
        <v>MARS-Libra-Sagittarius</v>
      </c>
      <c r="E372" s="17" t="s">
        <v>102</v>
      </c>
      <c r="F372" s="18" t="s">
        <v>27</v>
      </c>
      <c r="G372" s="19" t="s">
        <v>10</v>
      </c>
      <c r="H372" s="20" t="s">
        <v>118</v>
      </c>
      <c r="I372" s="18" t="s">
        <v>16</v>
      </c>
      <c r="J372" t="s">
        <v>7</v>
      </c>
    </row>
    <row r="373" spans="1:10" x14ac:dyDescent="0.25">
      <c r="A373" t="s">
        <v>8</v>
      </c>
      <c r="B373" s="16" t="s">
        <v>10</v>
      </c>
      <c r="C373" t="s">
        <v>25</v>
      </c>
      <c r="D373" t="str">
        <f t="shared" si="7"/>
        <v>MARS-Libra-Capricorn</v>
      </c>
      <c r="E373" s="17" t="s">
        <v>104</v>
      </c>
      <c r="F373" s="18" t="s">
        <v>25</v>
      </c>
      <c r="G373" s="19" t="s">
        <v>10</v>
      </c>
      <c r="H373" s="20" t="s">
        <v>119</v>
      </c>
      <c r="I373" s="18" t="s">
        <v>14</v>
      </c>
      <c r="J373" t="s">
        <v>7</v>
      </c>
    </row>
    <row r="374" spans="1:10" x14ac:dyDescent="0.25">
      <c r="A374" t="s">
        <v>8</v>
      </c>
      <c r="B374" s="16" t="s">
        <v>10</v>
      </c>
      <c r="C374" t="s">
        <v>27</v>
      </c>
      <c r="D374" t="str">
        <f t="shared" si="7"/>
        <v>MARS-Libra-Aquarius</v>
      </c>
      <c r="E374" s="17" t="s">
        <v>105</v>
      </c>
      <c r="F374" s="18" t="s">
        <v>23</v>
      </c>
      <c r="G374" s="19" t="s">
        <v>10</v>
      </c>
      <c r="H374" s="20" t="s">
        <v>120</v>
      </c>
      <c r="I374" s="18" t="s">
        <v>12</v>
      </c>
      <c r="J374" t="s">
        <v>7</v>
      </c>
    </row>
    <row r="375" spans="1:10" x14ac:dyDescent="0.25">
      <c r="A375" t="s">
        <v>8</v>
      </c>
      <c r="B375" s="16" t="s">
        <v>10</v>
      </c>
      <c r="C375" t="s">
        <v>29</v>
      </c>
      <c r="D375" t="str">
        <f t="shared" si="7"/>
        <v>MARS-Libra-Pisces</v>
      </c>
      <c r="E375" s="17" t="s">
        <v>106</v>
      </c>
      <c r="F375" s="18" t="s">
        <v>21</v>
      </c>
      <c r="G375" s="19" t="s">
        <v>10</v>
      </c>
      <c r="H375" s="20" t="s">
        <v>121</v>
      </c>
      <c r="I375" s="18" t="s">
        <v>9</v>
      </c>
      <c r="J375" t="s">
        <v>7</v>
      </c>
    </row>
    <row r="376" spans="1:10" x14ac:dyDescent="0.25">
      <c r="A376" t="s">
        <v>8</v>
      </c>
      <c r="B376" s="16" t="s">
        <v>21</v>
      </c>
      <c r="C376" t="s">
        <v>7</v>
      </c>
      <c r="D376" t="str">
        <f t="shared" si="7"/>
        <v>MARS-Scorpio-Aries</v>
      </c>
      <c r="E376" s="17" t="s">
        <v>106</v>
      </c>
      <c r="F376" s="18" t="s">
        <v>21</v>
      </c>
      <c r="G376" s="19" t="s">
        <v>21</v>
      </c>
      <c r="H376" s="20" t="s">
        <v>110</v>
      </c>
      <c r="I376" s="22" t="s">
        <v>7</v>
      </c>
      <c r="J376" t="s">
        <v>7</v>
      </c>
    </row>
    <row r="377" spans="1:10" x14ac:dyDescent="0.25">
      <c r="A377" t="s">
        <v>8</v>
      </c>
      <c r="B377" s="16" t="s">
        <v>21</v>
      </c>
      <c r="C377" t="s">
        <v>9</v>
      </c>
      <c r="D377" t="str">
        <f t="shared" si="7"/>
        <v>MARS-Scorpio-Taurus</v>
      </c>
      <c r="E377" s="17" t="s">
        <v>107</v>
      </c>
      <c r="F377" s="18" t="s">
        <v>10</v>
      </c>
      <c r="G377" s="19" t="s">
        <v>21</v>
      </c>
      <c r="H377" s="20" t="s">
        <v>111</v>
      </c>
      <c r="I377" s="18" t="s">
        <v>29</v>
      </c>
      <c r="J377" t="s">
        <v>7</v>
      </c>
    </row>
    <row r="378" spans="1:10" x14ac:dyDescent="0.25">
      <c r="A378" t="s">
        <v>8</v>
      </c>
      <c r="B378" s="16" t="s">
        <v>21</v>
      </c>
      <c r="C378" t="s">
        <v>12</v>
      </c>
      <c r="D378" t="str">
        <f t="shared" si="7"/>
        <v>MARS-Scorpio-Gemini</v>
      </c>
      <c r="E378" s="17" t="s">
        <v>108</v>
      </c>
      <c r="F378" s="18" t="s">
        <v>18</v>
      </c>
      <c r="G378" s="19" t="s">
        <v>21</v>
      </c>
      <c r="H378" s="20" t="s">
        <v>112</v>
      </c>
      <c r="I378" s="18" t="s">
        <v>27</v>
      </c>
      <c r="J378" t="s">
        <v>7</v>
      </c>
    </row>
    <row r="379" spans="1:10" x14ac:dyDescent="0.25">
      <c r="A379" t="s">
        <v>8</v>
      </c>
      <c r="B379" s="16" t="s">
        <v>21</v>
      </c>
      <c r="C379" t="s">
        <v>14</v>
      </c>
      <c r="D379" t="str">
        <f t="shared" si="7"/>
        <v>MARS-Scorpio-Cancer</v>
      </c>
      <c r="E379" s="17" t="s">
        <v>109</v>
      </c>
      <c r="F379" s="18" t="s">
        <v>16</v>
      </c>
      <c r="G379" s="19" t="s">
        <v>21</v>
      </c>
      <c r="H379" s="20" t="s">
        <v>113</v>
      </c>
      <c r="I379" s="18" t="s">
        <v>25</v>
      </c>
      <c r="J379" t="s">
        <v>7</v>
      </c>
    </row>
    <row r="380" spans="1:10" x14ac:dyDescent="0.25">
      <c r="A380" t="s">
        <v>8</v>
      </c>
      <c r="B380" s="16" t="s">
        <v>21</v>
      </c>
      <c r="C380" t="s">
        <v>16</v>
      </c>
      <c r="D380" t="str">
        <f t="shared" si="7"/>
        <v>MARS-Scorpio-Leo</v>
      </c>
      <c r="E380" s="17" t="s">
        <v>99</v>
      </c>
      <c r="F380" s="18" t="s">
        <v>14</v>
      </c>
      <c r="G380" s="19" t="s">
        <v>21</v>
      </c>
      <c r="H380" s="20" t="s">
        <v>114</v>
      </c>
      <c r="I380" s="18" t="s">
        <v>23</v>
      </c>
      <c r="J380" t="s">
        <v>7</v>
      </c>
    </row>
    <row r="381" spans="1:10" x14ac:dyDescent="0.25">
      <c r="A381" t="s">
        <v>8</v>
      </c>
      <c r="B381" s="16" t="s">
        <v>21</v>
      </c>
      <c r="C381" t="s">
        <v>18</v>
      </c>
      <c r="D381" t="str">
        <f t="shared" si="7"/>
        <v>MARS-Scorpio-Virgo</v>
      </c>
      <c r="E381" s="17" t="s">
        <v>101</v>
      </c>
      <c r="F381" s="18" t="s">
        <v>12</v>
      </c>
      <c r="G381" s="19" t="s">
        <v>21</v>
      </c>
      <c r="H381" s="20" t="s">
        <v>115</v>
      </c>
      <c r="I381" s="18" t="s">
        <v>21</v>
      </c>
      <c r="J381" t="s">
        <v>7</v>
      </c>
    </row>
    <row r="382" spans="1:10" x14ac:dyDescent="0.25">
      <c r="A382" t="s">
        <v>8</v>
      </c>
      <c r="B382" s="16" t="s">
        <v>21</v>
      </c>
      <c r="C382" t="s">
        <v>10</v>
      </c>
      <c r="D382" t="str">
        <f t="shared" si="7"/>
        <v>MARS-Scorpio-Libra</v>
      </c>
      <c r="E382" s="17" t="s">
        <v>103</v>
      </c>
      <c r="F382" s="18" t="s">
        <v>9</v>
      </c>
      <c r="G382" s="19" t="s">
        <v>21</v>
      </c>
      <c r="H382" s="20" t="s">
        <v>116</v>
      </c>
      <c r="I382" s="18" t="s">
        <v>10</v>
      </c>
      <c r="J382" t="s">
        <v>7</v>
      </c>
    </row>
    <row r="383" spans="1:10" x14ac:dyDescent="0.25">
      <c r="A383" t="s">
        <v>8</v>
      </c>
      <c r="B383" s="16" t="s">
        <v>21</v>
      </c>
      <c r="C383" t="s">
        <v>21</v>
      </c>
      <c r="D383" t="str">
        <f t="shared" si="7"/>
        <v>MARS-Scorpio-Scorpio</v>
      </c>
      <c r="E383" s="17" t="s">
        <v>98</v>
      </c>
      <c r="F383" s="18" t="s">
        <v>7</v>
      </c>
      <c r="G383" s="19" t="s">
        <v>21</v>
      </c>
      <c r="H383" s="20" t="s">
        <v>117</v>
      </c>
      <c r="I383" s="18" t="s">
        <v>18</v>
      </c>
      <c r="J383" t="s">
        <v>7</v>
      </c>
    </row>
    <row r="384" spans="1:10" x14ac:dyDescent="0.25">
      <c r="A384" t="s">
        <v>8</v>
      </c>
      <c r="B384" s="16" t="s">
        <v>21</v>
      </c>
      <c r="C384" t="s">
        <v>23</v>
      </c>
      <c r="D384" t="str">
        <f t="shared" si="7"/>
        <v>MARS-Scorpio-Sagittarius</v>
      </c>
      <c r="E384" s="17" t="s">
        <v>100</v>
      </c>
      <c r="F384" s="18" t="s">
        <v>29</v>
      </c>
      <c r="G384" s="19" t="s">
        <v>21</v>
      </c>
      <c r="H384" s="20" t="s">
        <v>118</v>
      </c>
      <c r="I384" s="18" t="s">
        <v>16</v>
      </c>
      <c r="J384" t="s">
        <v>7</v>
      </c>
    </row>
    <row r="385" spans="1:10" x14ac:dyDescent="0.25">
      <c r="A385" t="s">
        <v>8</v>
      </c>
      <c r="B385" s="16" t="s">
        <v>21</v>
      </c>
      <c r="C385" t="s">
        <v>25</v>
      </c>
      <c r="D385" t="str">
        <f t="shared" si="7"/>
        <v>MARS-Scorpio-Capricorn</v>
      </c>
      <c r="E385" s="17" t="s">
        <v>102</v>
      </c>
      <c r="F385" s="18" t="s">
        <v>27</v>
      </c>
      <c r="G385" s="19" t="s">
        <v>21</v>
      </c>
      <c r="H385" s="20" t="s">
        <v>119</v>
      </c>
      <c r="I385" s="18" t="s">
        <v>14</v>
      </c>
      <c r="J385" t="s">
        <v>7</v>
      </c>
    </row>
    <row r="386" spans="1:10" x14ac:dyDescent="0.25">
      <c r="A386" t="s">
        <v>8</v>
      </c>
      <c r="B386" s="16" t="s">
        <v>21</v>
      </c>
      <c r="C386" t="s">
        <v>27</v>
      </c>
      <c r="D386" t="str">
        <f t="shared" si="7"/>
        <v>MARS-Scorpio-Aquarius</v>
      </c>
      <c r="E386" s="17" t="s">
        <v>104</v>
      </c>
      <c r="F386" s="18" t="s">
        <v>25</v>
      </c>
      <c r="G386" s="19" t="s">
        <v>21</v>
      </c>
      <c r="H386" s="20" t="s">
        <v>120</v>
      </c>
      <c r="I386" s="18" t="s">
        <v>12</v>
      </c>
      <c r="J386" t="s">
        <v>7</v>
      </c>
    </row>
    <row r="387" spans="1:10" x14ac:dyDescent="0.25">
      <c r="A387" t="s">
        <v>8</v>
      </c>
      <c r="B387" s="16" t="s">
        <v>21</v>
      </c>
      <c r="C387" t="s">
        <v>29</v>
      </c>
      <c r="D387" t="str">
        <f t="shared" si="7"/>
        <v>MARS-Scorpio-Pisces</v>
      </c>
      <c r="E387" s="17" t="s">
        <v>105</v>
      </c>
      <c r="F387" s="18" t="s">
        <v>23</v>
      </c>
      <c r="G387" s="19" t="s">
        <v>21</v>
      </c>
      <c r="H387" s="20" t="s">
        <v>121</v>
      </c>
      <c r="I387" s="18" t="s">
        <v>9</v>
      </c>
      <c r="J387" t="s">
        <v>7</v>
      </c>
    </row>
    <row r="388" spans="1:10" x14ac:dyDescent="0.25">
      <c r="A388" t="s">
        <v>8</v>
      </c>
      <c r="B388" s="16" t="s">
        <v>23</v>
      </c>
      <c r="C388" t="s">
        <v>7</v>
      </c>
      <c r="D388" t="str">
        <f t="shared" si="7"/>
        <v>MARS-Sagittarius-Aries</v>
      </c>
      <c r="E388" s="17" t="s">
        <v>105</v>
      </c>
      <c r="F388" s="18" t="s">
        <v>23</v>
      </c>
      <c r="G388" s="19" t="s">
        <v>23</v>
      </c>
      <c r="H388" s="20" t="s">
        <v>110</v>
      </c>
      <c r="I388" s="22" t="s">
        <v>7</v>
      </c>
      <c r="J388" t="s">
        <v>7</v>
      </c>
    </row>
    <row r="389" spans="1:10" x14ac:dyDescent="0.25">
      <c r="A389" t="s">
        <v>8</v>
      </c>
      <c r="B389" s="16" t="s">
        <v>23</v>
      </c>
      <c r="C389" t="s">
        <v>9</v>
      </c>
      <c r="D389" t="str">
        <f t="shared" si="7"/>
        <v>MARS-Sagittarius-Taurus</v>
      </c>
      <c r="E389" s="17" t="s">
        <v>106</v>
      </c>
      <c r="F389" s="18" t="s">
        <v>21</v>
      </c>
      <c r="G389" s="19" t="s">
        <v>23</v>
      </c>
      <c r="H389" s="20" t="s">
        <v>111</v>
      </c>
      <c r="I389" s="18" t="s">
        <v>29</v>
      </c>
      <c r="J389" t="s">
        <v>7</v>
      </c>
    </row>
    <row r="390" spans="1:10" x14ac:dyDescent="0.25">
      <c r="A390" t="s">
        <v>8</v>
      </c>
      <c r="B390" s="16" t="s">
        <v>23</v>
      </c>
      <c r="C390" t="s">
        <v>12</v>
      </c>
      <c r="D390" t="str">
        <f t="shared" si="7"/>
        <v>MARS-Sagittarius-Gemini</v>
      </c>
      <c r="E390" s="17" t="s">
        <v>107</v>
      </c>
      <c r="F390" s="18" t="s">
        <v>10</v>
      </c>
      <c r="G390" s="19" t="s">
        <v>23</v>
      </c>
      <c r="H390" s="20" t="s">
        <v>112</v>
      </c>
      <c r="I390" s="18" t="s">
        <v>27</v>
      </c>
      <c r="J390" t="s">
        <v>7</v>
      </c>
    </row>
    <row r="391" spans="1:10" x14ac:dyDescent="0.25">
      <c r="A391" t="s">
        <v>8</v>
      </c>
      <c r="B391" s="16" t="s">
        <v>23</v>
      </c>
      <c r="C391" t="s">
        <v>14</v>
      </c>
      <c r="D391" t="str">
        <f t="shared" si="7"/>
        <v>MARS-Sagittarius-Cancer</v>
      </c>
      <c r="E391" s="17" t="s">
        <v>108</v>
      </c>
      <c r="F391" s="18" t="s">
        <v>18</v>
      </c>
      <c r="G391" s="19" t="s">
        <v>23</v>
      </c>
      <c r="H391" s="20" t="s">
        <v>113</v>
      </c>
      <c r="I391" s="18" t="s">
        <v>25</v>
      </c>
      <c r="J391" t="s">
        <v>7</v>
      </c>
    </row>
    <row r="392" spans="1:10" x14ac:dyDescent="0.25">
      <c r="A392" t="s">
        <v>8</v>
      </c>
      <c r="B392" s="16" t="s">
        <v>23</v>
      </c>
      <c r="C392" t="s">
        <v>16</v>
      </c>
      <c r="D392" t="str">
        <f t="shared" si="7"/>
        <v>MARS-Sagittarius-Leo</v>
      </c>
      <c r="E392" s="17" t="s">
        <v>109</v>
      </c>
      <c r="F392" s="18" t="s">
        <v>16</v>
      </c>
      <c r="G392" s="19" t="s">
        <v>23</v>
      </c>
      <c r="H392" s="20" t="s">
        <v>114</v>
      </c>
      <c r="I392" s="18" t="s">
        <v>23</v>
      </c>
      <c r="J392" t="s">
        <v>7</v>
      </c>
    </row>
    <row r="393" spans="1:10" x14ac:dyDescent="0.25">
      <c r="A393" t="s">
        <v>8</v>
      </c>
      <c r="B393" s="16" t="s">
        <v>23</v>
      </c>
      <c r="C393" t="s">
        <v>18</v>
      </c>
      <c r="D393" t="str">
        <f t="shared" si="7"/>
        <v>MARS-Sagittarius-Virgo</v>
      </c>
      <c r="E393" s="17" t="s">
        <v>99</v>
      </c>
      <c r="F393" s="18" t="s">
        <v>14</v>
      </c>
      <c r="G393" s="19" t="s">
        <v>23</v>
      </c>
      <c r="H393" s="20" t="s">
        <v>115</v>
      </c>
      <c r="I393" s="18" t="s">
        <v>21</v>
      </c>
      <c r="J393" t="s">
        <v>7</v>
      </c>
    </row>
    <row r="394" spans="1:10" x14ac:dyDescent="0.25">
      <c r="A394" t="s">
        <v>8</v>
      </c>
      <c r="B394" s="16" t="s">
        <v>23</v>
      </c>
      <c r="C394" t="s">
        <v>10</v>
      </c>
      <c r="D394" t="str">
        <f t="shared" si="7"/>
        <v>MARS-Sagittarius-Libra</v>
      </c>
      <c r="E394" s="17" t="s">
        <v>101</v>
      </c>
      <c r="F394" s="18" t="s">
        <v>12</v>
      </c>
      <c r="G394" s="19" t="s">
        <v>23</v>
      </c>
      <c r="H394" s="20" t="s">
        <v>116</v>
      </c>
      <c r="I394" s="18" t="s">
        <v>10</v>
      </c>
      <c r="J394" t="s">
        <v>7</v>
      </c>
    </row>
    <row r="395" spans="1:10" x14ac:dyDescent="0.25">
      <c r="A395" t="s">
        <v>8</v>
      </c>
      <c r="B395" s="16" t="s">
        <v>23</v>
      </c>
      <c r="C395" t="s">
        <v>21</v>
      </c>
      <c r="D395" t="str">
        <f t="shared" si="7"/>
        <v>MARS-Sagittarius-Scorpio</v>
      </c>
      <c r="E395" s="17" t="s">
        <v>103</v>
      </c>
      <c r="F395" s="18" t="s">
        <v>9</v>
      </c>
      <c r="G395" s="19" t="s">
        <v>23</v>
      </c>
      <c r="H395" s="20" t="s">
        <v>117</v>
      </c>
      <c r="I395" s="18" t="s">
        <v>18</v>
      </c>
      <c r="J395" t="s">
        <v>7</v>
      </c>
    </row>
    <row r="396" spans="1:10" x14ac:dyDescent="0.25">
      <c r="A396" t="s">
        <v>8</v>
      </c>
      <c r="B396" s="16" t="s">
        <v>23</v>
      </c>
      <c r="C396" t="s">
        <v>23</v>
      </c>
      <c r="D396" t="str">
        <f t="shared" si="7"/>
        <v>MARS-Sagittarius-Sagittarius</v>
      </c>
      <c r="E396" s="17" t="s">
        <v>98</v>
      </c>
      <c r="F396" s="18" t="s">
        <v>7</v>
      </c>
      <c r="G396" s="19" t="s">
        <v>23</v>
      </c>
      <c r="H396" s="20" t="s">
        <v>118</v>
      </c>
      <c r="I396" s="18" t="s">
        <v>16</v>
      </c>
      <c r="J396" t="s">
        <v>7</v>
      </c>
    </row>
    <row r="397" spans="1:10" x14ac:dyDescent="0.25">
      <c r="A397" t="s">
        <v>8</v>
      </c>
      <c r="B397" s="16" t="s">
        <v>23</v>
      </c>
      <c r="C397" t="s">
        <v>25</v>
      </c>
      <c r="D397" t="str">
        <f t="shared" si="7"/>
        <v>MARS-Sagittarius-Capricorn</v>
      </c>
      <c r="E397" s="17" t="s">
        <v>100</v>
      </c>
      <c r="F397" s="18" t="s">
        <v>29</v>
      </c>
      <c r="G397" s="19" t="s">
        <v>23</v>
      </c>
      <c r="H397" s="20" t="s">
        <v>119</v>
      </c>
      <c r="I397" s="18" t="s">
        <v>14</v>
      </c>
      <c r="J397" t="s">
        <v>7</v>
      </c>
    </row>
    <row r="398" spans="1:10" x14ac:dyDescent="0.25">
      <c r="A398" t="s">
        <v>8</v>
      </c>
      <c r="B398" s="16" t="s">
        <v>23</v>
      </c>
      <c r="C398" t="s">
        <v>27</v>
      </c>
      <c r="D398" t="str">
        <f t="shared" si="7"/>
        <v>MARS-Sagittarius-Aquarius</v>
      </c>
      <c r="E398" s="17" t="s">
        <v>102</v>
      </c>
      <c r="F398" s="18" t="s">
        <v>27</v>
      </c>
      <c r="G398" s="19" t="s">
        <v>23</v>
      </c>
      <c r="H398" s="20" t="s">
        <v>120</v>
      </c>
      <c r="I398" s="18" t="s">
        <v>12</v>
      </c>
      <c r="J398" t="s">
        <v>7</v>
      </c>
    </row>
    <row r="399" spans="1:10" x14ac:dyDescent="0.25">
      <c r="A399" t="s">
        <v>8</v>
      </c>
      <c r="B399" s="16" t="s">
        <v>23</v>
      </c>
      <c r="C399" t="s">
        <v>29</v>
      </c>
      <c r="D399" t="str">
        <f t="shared" si="7"/>
        <v>MARS-Sagittarius-Pisces</v>
      </c>
      <c r="E399" s="17" t="s">
        <v>104</v>
      </c>
      <c r="F399" s="18" t="s">
        <v>25</v>
      </c>
      <c r="G399" s="19" t="s">
        <v>23</v>
      </c>
      <c r="H399" s="20" t="s">
        <v>121</v>
      </c>
      <c r="I399" s="18" t="s">
        <v>9</v>
      </c>
      <c r="J399" t="s">
        <v>7</v>
      </c>
    </row>
    <row r="400" spans="1:10" x14ac:dyDescent="0.25">
      <c r="A400" t="s">
        <v>8</v>
      </c>
      <c r="B400" s="16" t="s">
        <v>25</v>
      </c>
      <c r="C400" t="s">
        <v>7</v>
      </c>
      <c r="D400" t="str">
        <f t="shared" si="7"/>
        <v>MARS-Capricorn-Aries</v>
      </c>
      <c r="E400" s="17" t="s">
        <v>104</v>
      </c>
      <c r="F400" s="18" t="s">
        <v>25</v>
      </c>
      <c r="G400" s="19" t="s">
        <v>25</v>
      </c>
      <c r="H400" s="20" t="s">
        <v>110</v>
      </c>
      <c r="I400" s="22" t="s">
        <v>7</v>
      </c>
      <c r="J400" t="s">
        <v>7</v>
      </c>
    </row>
    <row r="401" spans="1:10" x14ac:dyDescent="0.25">
      <c r="A401" t="s">
        <v>8</v>
      </c>
      <c r="B401" s="16" t="s">
        <v>25</v>
      </c>
      <c r="C401" t="s">
        <v>9</v>
      </c>
      <c r="D401" t="str">
        <f t="shared" si="7"/>
        <v>MARS-Capricorn-Taurus</v>
      </c>
      <c r="E401" s="17" t="s">
        <v>105</v>
      </c>
      <c r="F401" s="18" t="s">
        <v>23</v>
      </c>
      <c r="G401" s="19" t="s">
        <v>25</v>
      </c>
      <c r="H401" s="20" t="s">
        <v>111</v>
      </c>
      <c r="I401" s="18" t="s">
        <v>29</v>
      </c>
      <c r="J401" t="s">
        <v>7</v>
      </c>
    </row>
    <row r="402" spans="1:10" x14ac:dyDescent="0.25">
      <c r="A402" t="s">
        <v>8</v>
      </c>
      <c r="B402" s="16" t="s">
        <v>25</v>
      </c>
      <c r="C402" t="s">
        <v>12</v>
      </c>
      <c r="D402" t="str">
        <f t="shared" si="7"/>
        <v>MARS-Capricorn-Gemini</v>
      </c>
      <c r="E402" s="17" t="s">
        <v>106</v>
      </c>
      <c r="F402" s="18" t="s">
        <v>21</v>
      </c>
      <c r="G402" s="19" t="s">
        <v>25</v>
      </c>
      <c r="H402" s="20" t="s">
        <v>112</v>
      </c>
      <c r="I402" s="18" t="s">
        <v>27</v>
      </c>
      <c r="J402" t="s">
        <v>7</v>
      </c>
    </row>
    <row r="403" spans="1:10" x14ac:dyDescent="0.25">
      <c r="A403" t="s">
        <v>8</v>
      </c>
      <c r="B403" s="16" t="s">
        <v>25</v>
      </c>
      <c r="C403" t="s">
        <v>14</v>
      </c>
      <c r="D403" t="str">
        <f t="shared" si="7"/>
        <v>MARS-Capricorn-Cancer</v>
      </c>
      <c r="E403" s="17" t="s">
        <v>107</v>
      </c>
      <c r="F403" s="18" t="s">
        <v>10</v>
      </c>
      <c r="G403" s="19" t="s">
        <v>25</v>
      </c>
      <c r="H403" s="20" t="s">
        <v>113</v>
      </c>
      <c r="I403" s="18" t="s">
        <v>25</v>
      </c>
      <c r="J403" t="s">
        <v>7</v>
      </c>
    </row>
    <row r="404" spans="1:10" x14ac:dyDescent="0.25">
      <c r="A404" t="s">
        <v>8</v>
      </c>
      <c r="B404" s="16" t="s">
        <v>25</v>
      </c>
      <c r="C404" t="s">
        <v>16</v>
      </c>
      <c r="D404" t="str">
        <f t="shared" si="7"/>
        <v>MARS-Capricorn-Leo</v>
      </c>
      <c r="E404" s="17" t="s">
        <v>108</v>
      </c>
      <c r="F404" s="18" t="s">
        <v>18</v>
      </c>
      <c r="G404" s="19" t="s">
        <v>25</v>
      </c>
      <c r="H404" s="20" t="s">
        <v>114</v>
      </c>
      <c r="I404" s="18" t="s">
        <v>23</v>
      </c>
      <c r="J404" t="s">
        <v>7</v>
      </c>
    </row>
    <row r="405" spans="1:10" x14ac:dyDescent="0.25">
      <c r="A405" t="s">
        <v>8</v>
      </c>
      <c r="B405" s="16" t="s">
        <v>25</v>
      </c>
      <c r="C405" t="s">
        <v>18</v>
      </c>
      <c r="D405" t="str">
        <f t="shared" si="7"/>
        <v>MARS-Capricorn-Virgo</v>
      </c>
      <c r="E405" s="17" t="s">
        <v>109</v>
      </c>
      <c r="F405" s="18" t="s">
        <v>16</v>
      </c>
      <c r="G405" s="19" t="s">
        <v>25</v>
      </c>
      <c r="H405" s="20" t="s">
        <v>115</v>
      </c>
      <c r="I405" s="18" t="s">
        <v>21</v>
      </c>
      <c r="J405" t="s">
        <v>7</v>
      </c>
    </row>
    <row r="406" spans="1:10" x14ac:dyDescent="0.25">
      <c r="A406" t="s">
        <v>8</v>
      </c>
      <c r="B406" s="16" t="s">
        <v>25</v>
      </c>
      <c r="C406" t="s">
        <v>10</v>
      </c>
      <c r="D406" t="str">
        <f t="shared" si="7"/>
        <v>MARS-Capricorn-Libra</v>
      </c>
      <c r="E406" s="17" t="s">
        <v>99</v>
      </c>
      <c r="F406" s="18" t="s">
        <v>14</v>
      </c>
      <c r="G406" s="19" t="s">
        <v>25</v>
      </c>
      <c r="H406" s="20" t="s">
        <v>116</v>
      </c>
      <c r="I406" s="18" t="s">
        <v>10</v>
      </c>
      <c r="J406" t="s">
        <v>7</v>
      </c>
    </row>
    <row r="407" spans="1:10" x14ac:dyDescent="0.25">
      <c r="A407" t="s">
        <v>8</v>
      </c>
      <c r="B407" s="16" t="s">
        <v>25</v>
      </c>
      <c r="C407" t="s">
        <v>21</v>
      </c>
      <c r="D407" t="str">
        <f t="shared" si="7"/>
        <v>MARS-Capricorn-Scorpio</v>
      </c>
      <c r="E407" s="17" t="s">
        <v>101</v>
      </c>
      <c r="F407" s="18" t="s">
        <v>12</v>
      </c>
      <c r="G407" s="19" t="s">
        <v>25</v>
      </c>
      <c r="H407" s="20" t="s">
        <v>117</v>
      </c>
      <c r="I407" s="18" t="s">
        <v>18</v>
      </c>
      <c r="J407" t="s">
        <v>7</v>
      </c>
    </row>
    <row r="408" spans="1:10" x14ac:dyDescent="0.25">
      <c r="A408" t="s">
        <v>8</v>
      </c>
      <c r="B408" s="16" t="s">
        <v>25</v>
      </c>
      <c r="C408" t="s">
        <v>23</v>
      </c>
      <c r="D408" t="str">
        <f t="shared" si="7"/>
        <v>MARS-Capricorn-Sagittarius</v>
      </c>
      <c r="E408" s="17" t="s">
        <v>103</v>
      </c>
      <c r="F408" s="18" t="s">
        <v>9</v>
      </c>
      <c r="G408" s="19" t="s">
        <v>25</v>
      </c>
      <c r="H408" s="20" t="s">
        <v>118</v>
      </c>
      <c r="I408" s="18" t="s">
        <v>16</v>
      </c>
      <c r="J408" t="s">
        <v>7</v>
      </c>
    </row>
    <row r="409" spans="1:10" x14ac:dyDescent="0.25">
      <c r="A409" t="s">
        <v>8</v>
      </c>
      <c r="B409" s="16" t="s">
        <v>25</v>
      </c>
      <c r="C409" t="s">
        <v>25</v>
      </c>
      <c r="D409" t="str">
        <f t="shared" si="7"/>
        <v>MARS-Capricorn-Capricorn</v>
      </c>
      <c r="E409" s="17" t="s">
        <v>98</v>
      </c>
      <c r="F409" s="18" t="s">
        <v>7</v>
      </c>
      <c r="G409" s="19" t="s">
        <v>25</v>
      </c>
      <c r="H409" s="20" t="s">
        <v>119</v>
      </c>
      <c r="I409" s="18" t="s">
        <v>14</v>
      </c>
      <c r="J409" t="s">
        <v>7</v>
      </c>
    </row>
    <row r="410" spans="1:10" x14ac:dyDescent="0.25">
      <c r="A410" t="s">
        <v>8</v>
      </c>
      <c r="B410" s="16" t="s">
        <v>25</v>
      </c>
      <c r="C410" t="s">
        <v>27</v>
      </c>
      <c r="D410" t="str">
        <f t="shared" si="7"/>
        <v>MARS-Capricorn-Aquarius</v>
      </c>
      <c r="E410" s="17" t="s">
        <v>100</v>
      </c>
      <c r="F410" s="18" t="s">
        <v>29</v>
      </c>
      <c r="G410" s="19" t="s">
        <v>25</v>
      </c>
      <c r="H410" s="20" t="s">
        <v>120</v>
      </c>
      <c r="I410" s="18" t="s">
        <v>12</v>
      </c>
      <c r="J410" t="s">
        <v>7</v>
      </c>
    </row>
    <row r="411" spans="1:10" x14ac:dyDescent="0.25">
      <c r="A411" t="s">
        <v>8</v>
      </c>
      <c r="B411" s="16" t="s">
        <v>25</v>
      </c>
      <c r="C411" t="s">
        <v>29</v>
      </c>
      <c r="D411" t="str">
        <f t="shared" si="7"/>
        <v>MARS-Capricorn-Pisces</v>
      </c>
      <c r="E411" s="17" t="s">
        <v>102</v>
      </c>
      <c r="F411" s="18" t="s">
        <v>27</v>
      </c>
      <c r="G411" s="19" t="s">
        <v>25</v>
      </c>
      <c r="H411" s="20" t="s">
        <v>121</v>
      </c>
      <c r="I411" s="18" t="s">
        <v>9</v>
      </c>
      <c r="J411" t="s">
        <v>7</v>
      </c>
    </row>
    <row r="412" spans="1:10" x14ac:dyDescent="0.25">
      <c r="A412" t="s">
        <v>8</v>
      </c>
      <c r="B412" s="16" t="s">
        <v>27</v>
      </c>
      <c r="C412" t="s">
        <v>7</v>
      </c>
      <c r="D412" t="str">
        <f t="shared" si="7"/>
        <v>MARS-Aquarius-Aries</v>
      </c>
      <c r="E412" s="17" t="s">
        <v>102</v>
      </c>
      <c r="F412" s="18" t="s">
        <v>27</v>
      </c>
      <c r="G412" s="19" t="s">
        <v>27</v>
      </c>
      <c r="H412" s="20" t="s">
        <v>110</v>
      </c>
      <c r="I412" s="22" t="s">
        <v>7</v>
      </c>
      <c r="J412" t="s">
        <v>7</v>
      </c>
    </row>
    <row r="413" spans="1:10" x14ac:dyDescent="0.25">
      <c r="A413" t="s">
        <v>8</v>
      </c>
      <c r="B413" s="16" t="s">
        <v>27</v>
      </c>
      <c r="C413" t="s">
        <v>9</v>
      </c>
      <c r="D413" t="str">
        <f t="shared" si="7"/>
        <v>MARS-Aquarius-Taurus</v>
      </c>
      <c r="E413" s="17" t="s">
        <v>104</v>
      </c>
      <c r="F413" s="18" t="s">
        <v>25</v>
      </c>
      <c r="G413" s="19" t="s">
        <v>27</v>
      </c>
      <c r="H413" s="20" t="s">
        <v>111</v>
      </c>
      <c r="I413" s="18" t="s">
        <v>29</v>
      </c>
      <c r="J413" t="s">
        <v>7</v>
      </c>
    </row>
    <row r="414" spans="1:10" x14ac:dyDescent="0.25">
      <c r="A414" t="s">
        <v>8</v>
      </c>
      <c r="B414" s="16" t="s">
        <v>27</v>
      </c>
      <c r="C414" t="s">
        <v>12</v>
      </c>
      <c r="D414" t="str">
        <f t="shared" si="7"/>
        <v>MARS-Aquarius-Gemini</v>
      </c>
      <c r="E414" s="17" t="s">
        <v>105</v>
      </c>
      <c r="F414" s="18" t="s">
        <v>23</v>
      </c>
      <c r="G414" s="19" t="s">
        <v>27</v>
      </c>
      <c r="H414" s="20" t="s">
        <v>112</v>
      </c>
      <c r="I414" s="18" t="s">
        <v>27</v>
      </c>
      <c r="J414" t="s">
        <v>7</v>
      </c>
    </row>
    <row r="415" spans="1:10" x14ac:dyDescent="0.25">
      <c r="A415" t="s">
        <v>8</v>
      </c>
      <c r="B415" s="16" t="s">
        <v>27</v>
      </c>
      <c r="C415" t="s">
        <v>14</v>
      </c>
      <c r="D415" t="str">
        <f t="shared" si="7"/>
        <v>MARS-Aquarius-Cancer</v>
      </c>
      <c r="E415" s="17" t="s">
        <v>106</v>
      </c>
      <c r="F415" s="18" t="s">
        <v>21</v>
      </c>
      <c r="G415" s="19" t="s">
        <v>27</v>
      </c>
      <c r="H415" s="20" t="s">
        <v>113</v>
      </c>
      <c r="I415" s="18" t="s">
        <v>25</v>
      </c>
      <c r="J415" t="s">
        <v>7</v>
      </c>
    </row>
    <row r="416" spans="1:10" x14ac:dyDescent="0.25">
      <c r="A416" t="s">
        <v>8</v>
      </c>
      <c r="B416" s="16" t="s">
        <v>27</v>
      </c>
      <c r="C416" t="s">
        <v>16</v>
      </c>
      <c r="D416" t="str">
        <f t="shared" si="7"/>
        <v>MARS-Aquarius-Leo</v>
      </c>
      <c r="E416" s="17" t="s">
        <v>107</v>
      </c>
      <c r="F416" s="18" t="s">
        <v>10</v>
      </c>
      <c r="G416" s="19" t="s">
        <v>27</v>
      </c>
      <c r="H416" s="20" t="s">
        <v>114</v>
      </c>
      <c r="I416" s="18" t="s">
        <v>23</v>
      </c>
      <c r="J416" t="s">
        <v>7</v>
      </c>
    </row>
    <row r="417" spans="1:10" x14ac:dyDescent="0.25">
      <c r="A417" t="s">
        <v>8</v>
      </c>
      <c r="B417" s="16" t="s">
        <v>27</v>
      </c>
      <c r="C417" t="s">
        <v>18</v>
      </c>
      <c r="D417" t="str">
        <f t="shared" si="7"/>
        <v>MARS-Aquarius-Virgo</v>
      </c>
      <c r="E417" s="17" t="s">
        <v>108</v>
      </c>
      <c r="F417" s="18" t="s">
        <v>18</v>
      </c>
      <c r="G417" s="19" t="s">
        <v>27</v>
      </c>
      <c r="H417" s="20" t="s">
        <v>115</v>
      </c>
      <c r="I417" s="18" t="s">
        <v>21</v>
      </c>
      <c r="J417" t="s">
        <v>7</v>
      </c>
    </row>
    <row r="418" spans="1:10" x14ac:dyDescent="0.25">
      <c r="A418" t="s">
        <v>8</v>
      </c>
      <c r="B418" s="16" t="s">
        <v>27</v>
      </c>
      <c r="C418" t="s">
        <v>10</v>
      </c>
      <c r="D418" t="str">
        <f t="shared" si="7"/>
        <v>MARS-Aquarius-Libra</v>
      </c>
      <c r="E418" s="17" t="s">
        <v>109</v>
      </c>
      <c r="F418" s="18" t="s">
        <v>16</v>
      </c>
      <c r="G418" s="19" t="s">
        <v>27</v>
      </c>
      <c r="H418" s="20" t="s">
        <v>116</v>
      </c>
      <c r="I418" s="18" t="s">
        <v>10</v>
      </c>
      <c r="J418" t="s">
        <v>7</v>
      </c>
    </row>
    <row r="419" spans="1:10" x14ac:dyDescent="0.25">
      <c r="A419" t="s">
        <v>8</v>
      </c>
      <c r="B419" s="16" t="s">
        <v>27</v>
      </c>
      <c r="C419" t="s">
        <v>21</v>
      </c>
      <c r="D419" t="str">
        <f t="shared" si="7"/>
        <v>MARS-Aquarius-Scorpio</v>
      </c>
      <c r="E419" s="17" t="s">
        <v>99</v>
      </c>
      <c r="F419" s="18" t="s">
        <v>14</v>
      </c>
      <c r="G419" s="19" t="s">
        <v>27</v>
      </c>
      <c r="H419" s="20" t="s">
        <v>117</v>
      </c>
      <c r="I419" s="18" t="s">
        <v>18</v>
      </c>
      <c r="J419" t="s">
        <v>7</v>
      </c>
    </row>
    <row r="420" spans="1:10" x14ac:dyDescent="0.25">
      <c r="A420" t="s">
        <v>8</v>
      </c>
      <c r="B420" s="16" t="s">
        <v>27</v>
      </c>
      <c r="C420" t="s">
        <v>23</v>
      </c>
      <c r="D420" t="str">
        <f t="shared" si="7"/>
        <v>MARS-Aquarius-Sagittarius</v>
      </c>
      <c r="E420" s="17" t="s">
        <v>101</v>
      </c>
      <c r="F420" s="18" t="s">
        <v>12</v>
      </c>
      <c r="G420" s="19" t="s">
        <v>27</v>
      </c>
      <c r="H420" s="20" t="s">
        <v>118</v>
      </c>
      <c r="I420" s="18" t="s">
        <v>16</v>
      </c>
      <c r="J420" t="s">
        <v>7</v>
      </c>
    </row>
    <row r="421" spans="1:10" x14ac:dyDescent="0.25">
      <c r="A421" t="s">
        <v>8</v>
      </c>
      <c r="B421" s="16" t="s">
        <v>27</v>
      </c>
      <c r="C421" t="s">
        <v>25</v>
      </c>
      <c r="D421" t="str">
        <f t="shared" ref="D421:D435" si="8">A421&amp;"-"&amp;B421&amp;"-"&amp;C421</f>
        <v>MARS-Aquarius-Capricorn</v>
      </c>
      <c r="E421" s="17" t="s">
        <v>103</v>
      </c>
      <c r="F421" s="18" t="s">
        <v>9</v>
      </c>
      <c r="G421" s="19" t="s">
        <v>27</v>
      </c>
      <c r="H421" s="20" t="s">
        <v>119</v>
      </c>
      <c r="I421" s="18" t="s">
        <v>14</v>
      </c>
      <c r="J421" t="s">
        <v>7</v>
      </c>
    </row>
    <row r="422" spans="1:10" x14ac:dyDescent="0.25">
      <c r="A422" t="s">
        <v>8</v>
      </c>
      <c r="B422" s="16" t="s">
        <v>27</v>
      </c>
      <c r="C422" t="s">
        <v>27</v>
      </c>
      <c r="D422" t="str">
        <f t="shared" si="8"/>
        <v>MARS-Aquarius-Aquarius</v>
      </c>
      <c r="E422" s="17" t="s">
        <v>98</v>
      </c>
      <c r="F422" s="18" t="s">
        <v>7</v>
      </c>
      <c r="G422" s="19" t="s">
        <v>27</v>
      </c>
      <c r="H422" s="20" t="s">
        <v>120</v>
      </c>
      <c r="I422" s="18" t="s">
        <v>12</v>
      </c>
      <c r="J422" t="s">
        <v>7</v>
      </c>
    </row>
    <row r="423" spans="1:10" x14ac:dyDescent="0.25">
      <c r="A423" t="s">
        <v>8</v>
      </c>
      <c r="B423" s="16" t="s">
        <v>27</v>
      </c>
      <c r="C423" t="s">
        <v>29</v>
      </c>
      <c r="D423" t="str">
        <f t="shared" si="8"/>
        <v>MARS-Aquarius-Pisces</v>
      </c>
      <c r="E423" s="17" t="s">
        <v>100</v>
      </c>
      <c r="F423" s="18" t="s">
        <v>29</v>
      </c>
      <c r="G423" s="19" t="s">
        <v>27</v>
      </c>
      <c r="H423" s="20" t="s">
        <v>121</v>
      </c>
      <c r="I423" s="18" t="s">
        <v>9</v>
      </c>
      <c r="J423" t="s">
        <v>7</v>
      </c>
    </row>
    <row r="424" spans="1:10" x14ac:dyDescent="0.25">
      <c r="A424" t="s">
        <v>8</v>
      </c>
      <c r="B424" s="16" t="s">
        <v>29</v>
      </c>
      <c r="C424" t="s">
        <v>7</v>
      </c>
      <c r="D424" t="str">
        <f t="shared" si="8"/>
        <v>MARS-Pisces-Aries</v>
      </c>
      <c r="E424" s="17" t="s">
        <v>100</v>
      </c>
      <c r="F424" s="18" t="s">
        <v>29</v>
      </c>
      <c r="G424" s="19" t="s">
        <v>29</v>
      </c>
      <c r="H424" s="20" t="s">
        <v>110</v>
      </c>
      <c r="I424" s="22" t="s">
        <v>7</v>
      </c>
      <c r="J424" t="s">
        <v>7</v>
      </c>
    </row>
    <row r="425" spans="1:10" x14ac:dyDescent="0.25">
      <c r="A425" t="s">
        <v>8</v>
      </c>
      <c r="B425" s="16" t="s">
        <v>29</v>
      </c>
      <c r="C425" t="s">
        <v>9</v>
      </c>
      <c r="D425" t="str">
        <f t="shared" si="8"/>
        <v>MARS-Pisces-Taurus</v>
      </c>
      <c r="E425" s="17" t="s">
        <v>102</v>
      </c>
      <c r="F425" s="18" t="s">
        <v>27</v>
      </c>
      <c r="G425" s="19" t="s">
        <v>29</v>
      </c>
      <c r="H425" s="20" t="s">
        <v>111</v>
      </c>
      <c r="I425" s="18" t="s">
        <v>29</v>
      </c>
      <c r="J425" t="s">
        <v>7</v>
      </c>
    </row>
    <row r="426" spans="1:10" x14ac:dyDescent="0.25">
      <c r="A426" t="s">
        <v>8</v>
      </c>
      <c r="B426" s="16" t="s">
        <v>29</v>
      </c>
      <c r="C426" t="s">
        <v>12</v>
      </c>
      <c r="D426" t="str">
        <f t="shared" si="8"/>
        <v>MARS-Pisces-Gemini</v>
      </c>
      <c r="E426" s="17" t="s">
        <v>104</v>
      </c>
      <c r="F426" s="18" t="s">
        <v>25</v>
      </c>
      <c r="G426" s="19" t="s">
        <v>29</v>
      </c>
      <c r="H426" s="20" t="s">
        <v>112</v>
      </c>
      <c r="I426" s="18" t="s">
        <v>27</v>
      </c>
      <c r="J426" t="s">
        <v>7</v>
      </c>
    </row>
    <row r="427" spans="1:10" x14ac:dyDescent="0.25">
      <c r="A427" t="s">
        <v>8</v>
      </c>
      <c r="B427" s="16" t="s">
        <v>29</v>
      </c>
      <c r="C427" t="s">
        <v>14</v>
      </c>
      <c r="D427" t="str">
        <f t="shared" si="8"/>
        <v>MARS-Pisces-Cancer</v>
      </c>
      <c r="E427" s="17" t="s">
        <v>105</v>
      </c>
      <c r="F427" s="18" t="s">
        <v>23</v>
      </c>
      <c r="G427" s="19" t="s">
        <v>29</v>
      </c>
      <c r="H427" s="20" t="s">
        <v>113</v>
      </c>
      <c r="I427" s="18" t="s">
        <v>25</v>
      </c>
      <c r="J427" t="s">
        <v>7</v>
      </c>
    </row>
    <row r="428" spans="1:10" x14ac:dyDescent="0.25">
      <c r="A428" t="s">
        <v>8</v>
      </c>
      <c r="B428" s="16" t="s">
        <v>29</v>
      </c>
      <c r="C428" t="s">
        <v>16</v>
      </c>
      <c r="D428" t="str">
        <f t="shared" si="8"/>
        <v>MARS-Pisces-Leo</v>
      </c>
      <c r="E428" s="17" t="s">
        <v>106</v>
      </c>
      <c r="F428" s="18" t="s">
        <v>21</v>
      </c>
      <c r="G428" s="19" t="s">
        <v>29</v>
      </c>
      <c r="H428" s="20" t="s">
        <v>114</v>
      </c>
      <c r="I428" s="18" t="s">
        <v>23</v>
      </c>
      <c r="J428" t="s">
        <v>7</v>
      </c>
    </row>
    <row r="429" spans="1:10" x14ac:dyDescent="0.25">
      <c r="A429" t="s">
        <v>8</v>
      </c>
      <c r="B429" s="16" t="s">
        <v>29</v>
      </c>
      <c r="C429" t="s">
        <v>18</v>
      </c>
      <c r="D429" t="str">
        <f t="shared" si="8"/>
        <v>MARS-Pisces-Virgo</v>
      </c>
      <c r="E429" s="17" t="s">
        <v>107</v>
      </c>
      <c r="F429" s="18" t="s">
        <v>10</v>
      </c>
      <c r="G429" s="19" t="s">
        <v>29</v>
      </c>
      <c r="H429" s="20" t="s">
        <v>115</v>
      </c>
      <c r="I429" s="18" t="s">
        <v>21</v>
      </c>
      <c r="J429" t="s">
        <v>7</v>
      </c>
    </row>
    <row r="430" spans="1:10" x14ac:dyDescent="0.25">
      <c r="A430" t="s">
        <v>8</v>
      </c>
      <c r="B430" s="16" t="s">
        <v>29</v>
      </c>
      <c r="C430" t="s">
        <v>10</v>
      </c>
      <c r="D430" t="str">
        <f t="shared" si="8"/>
        <v>MARS-Pisces-Libra</v>
      </c>
      <c r="E430" s="17" t="s">
        <v>108</v>
      </c>
      <c r="F430" s="18" t="s">
        <v>18</v>
      </c>
      <c r="G430" s="19" t="s">
        <v>29</v>
      </c>
      <c r="H430" s="20" t="s">
        <v>116</v>
      </c>
      <c r="I430" s="18" t="s">
        <v>10</v>
      </c>
      <c r="J430" t="s">
        <v>7</v>
      </c>
    </row>
    <row r="431" spans="1:10" x14ac:dyDescent="0.25">
      <c r="A431" t="s">
        <v>8</v>
      </c>
      <c r="B431" s="16" t="s">
        <v>29</v>
      </c>
      <c r="C431" t="s">
        <v>21</v>
      </c>
      <c r="D431" t="str">
        <f t="shared" si="8"/>
        <v>MARS-Pisces-Scorpio</v>
      </c>
      <c r="E431" s="17" t="s">
        <v>109</v>
      </c>
      <c r="F431" s="18" t="s">
        <v>16</v>
      </c>
      <c r="G431" s="19" t="s">
        <v>29</v>
      </c>
      <c r="H431" s="20" t="s">
        <v>117</v>
      </c>
      <c r="I431" s="18" t="s">
        <v>18</v>
      </c>
      <c r="J431" t="s">
        <v>7</v>
      </c>
    </row>
    <row r="432" spans="1:10" x14ac:dyDescent="0.25">
      <c r="A432" t="s">
        <v>8</v>
      </c>
      <c r="B432" s="16" t="s">
        <v>29</v>
      </c>
      <c r="C432" t="s">
        <v>23</v>
      </c>
      <c r="D432" t="str">
        <f t="shared" si="8"/>
        <v>MARS-Pisces-Sagittarius</v>
      </c>
      <c r="E432" s="17" t="s">
        <v>99</v>
      </c>
      <c r="F432" s="18" t="s">
        <v>14</v>
      </c>
      <c r="G432" s="19" t="s">
        <v>29</v>
      </c>
      <c r="H432" s="20" t="s">
        <v>118</v>
      </c>
      <c r="I432" s="18" t="s">
        <v>16</v>
      </c>
      <c r="J432" t="s">
        <v>7</v>
      </c>
    </row>
    <row r="433" spans="1:10" x14ac:dyDescent="0.25">
      <c r="A433" t="s">
        <v>8</v>
      </c>
      <c r="B433" s="16" t="s">
        <v>29</v>
      </c>
      <c r="C433" t="s">
        <v>25</v>
      </c>
      <c r="D433" t="str">
        <f t="shared" si="8"/>
        <v>MARS-Pisces-Capricorn</v>
      </c>
      <c r="E433" s="17" t="s">
        <v>101</v>
      </c>
      <c r="F433" s="18" t="s">
        <v>12</v>
      </c>
      <c r="G433" s="19" t="s">
        <v>29</v>
      </c>
      <c r="H433" s="20" t="s">
        <v>119</v>
      </c>
      <c r="I433" s="18" t="s">
        <v>14</v>
      </c>
      <c r="J433" t="s">
        <v>7</v>
      </c>
    </row>
    <row r="434" spans="1:10" x14ac:dyDescent="0.25">
      <c r="A434" t="s">
        <v>8</v>
      </c>
      <c r="B434" s="16" t="s">
        <v>29</v>
      </c>
      <c r="C434" t="s">
        <v>27</v>
      </c>
      <c r="D434" t="str">
        <f t="shared" si="8"/>
        <v>MARS-Pisces-Aquarius</v>
      </c>
      <c r="E434" s="17" t="s">
        <v>103</v>
      </c>
      <c r="F434" s="18" t="s">
        <v>9</v>
      </c>
      <c r="G434" s="19" t="s">
        <v>29</v>
      </c>
      <c r="H434" s="20" t="s">
        <v>120</v>
      </c>
      <c r="I434" s="18" t="s">
        <v>12</v>
      </c>
      <c r="J434" t="s">
        <v>7</v>
      </c>
    </row>
    <row r="435" spans="1:10" x14ac:dyDescent="0.25">
      <c r="A435" t="s">
        <v>8</v>
      </c>
      <c r="B435" s="16" t="s">
        <v>29</v>
      </c>
      <c r="C435" t="s">
        <v>29</v>
      </c>
      <c r="D435" t="str">
        <f t="shared" si="8"/>
        <v>MARS-Pisces-Pisces</v>
      </c>
      <c r="E435" s="17" t="s">
        <v>98</v>
      </c>
      <c r="F435" s="18" t="s">
        <v>7</v>
      </c>
      <c r="G435" s="19" t="s">
        <v>29</v>
      </c>
      <c r="H435" s="20" t="s">
        <v>121</v>
      </c>
      <c r="I435" s="18" t="s">
        <v>9</v>
      </c>
      <c r="J435" t="s">
        <v>7</v>
      </c>
    </row>
    <row r="436" spans="1:10" x14ac:dyDescent="0.25">
      <c r="A436" t="s">
        <v>22</v>
      </c>
      <c r="B436" s="16" t="s">
        <v>7</v>
      </c>
      <c r="C436" t="s">
        <v>7</v>
      </c>
      <c r="D436" t="str">
        <f>A436&amp;"-"&amp;B436&amp;"-"&amp;C436</f>
        <v>PLUTO-Aries-Aries</v>
      </c>
      <c r="E436" s="17" t="s">
        <v>98</v>
      </c>
      <c r="F436" s="18" t="s">
        <v>7</v>
      </c>
      <c r="G436" s="19" t="s">
        <v>7</v>
      </c>
      <c r="H436" s="20" t="s">
        <v>115</v>
      </c>
      <c r="I436" s="18" t="s">
        <v>21</v>
      </c>
      <c r="J436" t="s">
        <v>21</v>
      </c>
    </row>
    <row r="437" spans="1:10" x14ac:dyDescent="0.25">
      <c r="A437" t="s">
        <v>22</v>
      </c>
      <c r="B437" s="16" t="s">
        <v>7</v>
      </c>
      <c r="C437" t="s">
        <v>9</v>
      </c>
      <c r="D437" t="str">
        <f t="shared" ref="D437:D500" si="9">A437&amp;"-"&amp;B437&amp;"-"&amp;C437</f>
        <v>PLUTO-Aries-Taurus</v>
      </c>
      <c r="E437" s="17" t="s">
        <v>100</v>
      </c>
      <c r="F437" s="18" t="s">
        <v>29</v>
      </c>
      <c r="G437" s="19" t="s">
        <v>7</v>
      </c>
      <c r="H437" s="20" t="s">
        <v>116</v>
      </c>
      <c r="I437" s="18" t="s">
        <v>10</v>
      </c>
      <c r="J437" t="s">
        <v>21</v>
      </c>
    </row>
    <row r="438" spans="1:10" x14ac:dyDescent="0.25">
      <c r="A438" t="s">
        <v>22</v>
      </c>
      <c r="B438" s="16" t="s">
        <v>7</v>
      </c>
      <c r="C438" t="s">
        <v>12</v>
      </c>
      <c r="D438" t="str">
        <f t="shared" si="9"/>
        <v>PLUTO-Aries-Gemini</v>
      </c>
      <c r="E438" s="17" t="s">
        <v>102</v>
      </c>
      <c r="F438" s="18" t="s">
        <v>27</v>
      </c>
      <c r="G438" s="19" t="s">
        <v>7</v>
      </c>
      <c r="H438" s="20" t="s">
        <v>117</v>
      </c>
      <c r="I438" s="18" t="s">
        <v>18</v>
      </c>
      <c r="J438" t="s">
        <v>21</v>
      </c>
    </row>
    <row r="439" spans="1:10" x14ac:dyDescent="0.25">
      <c r="A439" t="s">
        <v>22</v>
      </c>
      <c r="B439" s="16" t="s">
        <v>7</v>
      </c>
      <c r="C439" t="s">
        <v>14</v>
      </c>
      <c r="D439" t="str">
        <f t="shared" si="9"/>
        <v>PLUTO-Aries-Cancer</v>
      </c>
      <c r="E439" s="17" t="s">
        <v>104</v>
      </c>
      <c r="F439" s="18" t="s">
        <v>25</v>
      </c>
      <c r="G439" s="19" t="s">
        <v>7</v>
      </c>
      <c r="H439" s="20" t="s">
        <v>118</v>
      </c>
      <c r="I439" s="18" t="s">
        <v>16</v>
      </c>
      <c r="J439" t="s">
        <v>21</v>
      </c>
    </row>
    <row r="440" spans="1:10" x14ac:dyDescent="0.25">
      <c r="A440" t="s">
        <v>22</v>
      </c>
      <c r="B440" s="16" t="s">
        <v>7</v>
      </c>
      <c r="C440" t="s">
        <v>16</v>
      </c>
      <c r="D440" t="str">
        <f t="shared" si="9"/>
        <v>PLUTO-Aries-Leo</v>
      </c>
      <c r="E440" s="17" t="s">
        <v>105</v>
      </c>
      <c r="F440" s="18" t="s">
        <v>23</v>
      </c>
      <c r="G440" s="19" t="s">
        <v>7</v>
      </c>
      <c r="H440" s="20" t="s">
        <v>119</v>
      </c>
      <c r="I440" s="18" t="s">
        <v>14</v>
      </c>
      <c r="J440" t="s">
        <v>21</v>
      </c>
    </row>
    <row r="441" spans="1:10" x14ac:dyDescent="0.25">
      <c r="A441" t="s">
        <v>22</v>
      </c>
      <c r="B441" s="16" t="s">
        <v>7</v>
      </c>
      <c r="C441" t="s">
        <v>18</v>
      </c>
      <c r="D441" t="str">
        <f t="shared" si="9"/>
        <v>PLUTO-Aries-Virgo</v>
      </c>
      <c r="E441" s="17" t="s">
        <v>106</v>
      </c>
      <c r="F441" s="18" t="s">
        <v>21</v>
      </c>
      <c r="G441" s="19" t="s">
        <v>7</v>
      </c>
      <c r="H441" s="20" t="s">
        <v>120</v>
      </c>
      <c r="I441" s="18" t="s">
        <v>12</v>
      </c>
      <c r="J441" t="s">
        <v>21</v>
      </c>
    </row>
    <row r="442" spans="1:10" x14ac:dyDescent="0.25">
      <c r="A442" t="s">
        <v>22</v>
      </c>
      <c r="B442" s="16" t="s">
        <v>7</v>
      </c>
      <c r="C442" t="s">
        <v>10</v>
      </c>
      <c r="D442" t="str">
        <f t="shared" si="9"/>
        <v>PLUTO-Aries-Libra</v>
      </c>
      <c r="E442" s="17" t="s">
        <v>107</v>
      </c>
      <c r="F442" s="18" t="s">
        <v>10</v>
      </c>
      <c r="G442" s="19" t="s">
        <v>7</v>
      </c>
      <c r="H442" s="20" t="s">
        <v>121</v>
      </c>
      <c r="I442" s="18" t="s">
        <v>9</v>
      </c>
      <c r="J442" t="s">
        <v>21</v>
      </c>
    </row>
    <row r="443" spans="1:10" x14ac:dyDescent="0.25">
      <c r="A443" t="s">
        <v>22</v>
      </c>
      <c r="B443" s="16" t="s">
        <v>7</v>
      </c>
      <c r="C443" t="s">
        <v>21</v>
      </c>
      <c r="D443" t="str">
        <f t="shared" si="9"/>
        <v>PLUTO-Aries-Scorpio</v>
      </c>
      <c r="E443" s="17" t="s">
        <v>108</v>
      </c>
      <c r="F443" s="18" t="s">
        <v>18</v>
      </c>
      <c r="G443" s="19" t="s">
        <v>7</v>
      </c>
      <c r="H443" s="20" t="s">
        <v>110</v>
      </c>
      <c r="I443" s="18" t="s">
        <v>7</v>
      </c>
      <c r="J443" t="s">
        <v>21</v>
      </c>
    </row>
    <row r="444" spans="1:10" x14ac:dyDescent="0.25">
      <c r="A444" t="s">
        <v>22</v>
      </c>
      <c r="B444" s="16" t="s">
        <v>7</v>
      </c>
      <c r="C444" t="s">
        <v>23</v>
      </c>
      <c r="D444" t="str">
        <f t="shared" si="9"/>
        <v>PLUTO-Aries-Sagittarius</v>
      </c>
      <c r="E444" s="17" t="s">
        <v>109</v>
      </c>
      <c r="F444" s="18" t="s">
        <v>16</v>
      </c>
      <c r="G444" s="19" t="s">
        <v>7</v>
      </c>
      <c r="H444" s="20" t="s">
        <v>111</v>
      </c>
      <c r="I444" s="18" t="s">
        <v>29</v>
      </c>
      <c r="J444" t="s">
        <v>21</v>
      </c>
    </row>
    <row r="445" spans="1:10" x14ac:dyDescent="0.25">
      <c r="A445" t="s">
        <v>22</v>
      </c>
      <c r="B445" s="16" t="s">
        <v>7</v>
      </c>
      <c r="C445" t="s">
        <v>25</v>
      </c>
      <c r="D445" t="str">
        <f t="shared" si="9"/>
        <v>PLUTO-Aries-Capricorn</v>
      </c>
      <c r="E445" s="17" t="s">
        <v>99</v>
      </c>
      <c r="F445" s="18" t="s">
        <v>14</v>
      </c>
      <c r="G445" s="19" t="s">
        <v>7</v>
      </c>
      <c r="H445" s="20" t="s">
        <v>112</v>
      </c>
      <c r="I445" s="18" t="s">
        <v>27</v>
      </c>
      <c r="J445" t="s">
        <v>21</v>
      </c>
    </row>
    <row r="446" spans="1:10" x14ac:dyDescent="0.25">
      <c r="A446" t="s">
        <v>22</v>
      </c>
      <c r="B446" s="16" t="s">
        <v>7</v>
      </c>
      <c r="C446" t="s">
        <v>27</v>
      </c>
      <c r="D446" t="str">
        <f t="shared" si="9"/>
        <v>PLUTO-Aries-Aquarius</v>
      </c>
      <c r="E446" s="17" t="s">
        <v>101</v>
      </c>
      <c r="F446" s="18" t="s">
        <v>12</v>
      </c>
      <c r="G446" s="19" t="s">
        <v>7</v>
      </c>
      <c r="H446" s="20" t="s">
        <v>113</v>
      </c>
      <c r="I446" s="18" t="s">
        <v>25</v>
      </c>
      <c r="J446" t="s">
        <v>21</v>
      </c>
    </row>
    <row r="447" spans="1:10" x14ac:dyDescent="0.25">
      <c r="A447" t="s">
        <v>22</v>
      </c>
      <c r="B447" s="16" t="s">
        <v>7</v>
      </c>
      <c r="C447" t="s">
        <v>29</v>
      </c>
      <c r="D447" t="str">
        <f t="shared" si="9"/>
        <v>PLUTO-Aries-Pisces</v>
      </c>
      <c r="E447" s="17" t="s">
        <v>103</v>
      </c>
      <c r="F447" s="18" t="s">
        <v>9</v>
      </c>
      <c r="G447" s="19" t="s">
        <v>7</v>
      </c>
      <c r="H447" s="20" t="s">
        <v>114</v>
      </c>
      <c r="I447" s="18" t="s">
        <v>23</v>
      </c>
      <c r="J447" t="s">
        <v>21</v>
      </c>
    </row>
    <row r="448" spans="1:10" x14ac:dyDescent="0.25">
      <c r="A448" t="s">
        <v>22</v>
      </c>
      <c r="B448" s="16" t="s">
        <v>9</v>
      </c>
      <c r="C448" t="s">
        <v>7</v>
      </c>
      <c r="D448" t="str">
        <f t="shared" si="9"/>
        <v>PLUTO-Taurus-Aries</v>
      </c>
      <c r="E448" s="17" t="s">
        <v>103</v>
      </c>
      <c r="F448" s="18" t="s">
        <v>9</v>
      </c>
      <c r="G448" s="19" t="s">
        <v>9</v>
      </c>
      <c r="H448" s="20" t="s">
        <v>115</v>
      </c>
      <c r="I448" s="18" t="s">
        <v>21</v>
      </c>
      <c r="J448" t="s">
        <v>21</v>
      </c>
    </row>
    <row r="449" spans="1:10" x14ac:dyDescent="0.25">
      <c r="A449" t="s">
        <v>22</v>
      </c>
      <c r="B449" s="16" t="s">
        <v>9</v>
      </c>
      <c r="C449" t="s">
        <v>9</v>
      </c>
      <c r="D449" t="str">
        <f t="shared" si="9"/>
        <v>PLUTO-Taurus-Taurus</v>
      </c>
      <c r="E449" s="17" t="s">
        <v>98</v>
      </c>
      <c r="F449" s="18" t="s">
        <v>7</v>
      </c>
      <c r="G449" s="19" t="s">
        <v>9</v>
      </c>
      <c r="H449" s="20" t="s">
        <v>116</v>
      </c>
      <c r="I449" s="18" t="s">
        <v>10</v>
      </c>
      <c r="J449" t="s">
        <v>21</v>
      </c>
    </row>
    <row r="450" spans="1:10" x14ac:dyDescent="0.25">
      <c r="A450" t="s">
        <v>22</v>
      </c>
      <c r="B450" s="16" t="s">
        <v>9</v>
      </c>
      <c r="C450" t="s">
        <v>12</v>
      </c>
      <c r="D450" t="str">
        <f t="shared" si="9"/>
        <v>PLUTO-Taurus-Gemini</v>
      </c>
      <c r="E450" s="17" t="s">
        <v>100</v>
      </c>
      <c r="F450" s="18" t="s">
        <v>29</v>
      </c>
      <c r="G450" s="19" t="s">
        <v>9</v>
      </c>
      <c r="H450" s="20" t="s">
        <v>117</v>
      </c>
      <c r="I450" s="18" t="s">
        <v>18</v>
      </c>
      <c r="J450" t="s">
        <v>21</v>
      </c>
    </row>
    <row r="451" spans="1:10" x14ac:dyDescent="0.25">
      <c r="A451" t="s">
        <v>22</v>
      </c>
      <c r="B451" s="16" t="s">
        <v>9</v>
      </c>
      <c r="C451" t="s">
        <v>14</v>
      </c>
      <c r="D451" t="str">
        <f t="shared" si="9"/>
        <v>PLUTO-Taurus-Cancer</v>
      </c>
      <c r="E451" s="17" t="s">
        <v>102</v>
      </c>
      <c r="F451" s="18" t="s">
        <v>27</v>
      </c>
      <c r="G451" s="19" t="s">
        <v>9</v>
      </c>
      <c r="H451" s="20" t="s">
        <v>118</v>
      </c>
      <c r="I451" s="18" t="s">
        <v>16</v>
      </c>
      <c r="J451" t="s">
        <v>21</v>
      </c>
    </row>
    <row r="452" spans="1:10" x14ac:dyDescent="0.25">
      <c r="A452" t="s">
        <v>22</v>
      </c>
      <c r="B452" s="16" t="s">
        <v>9</v>
      </c>
      <c r="C452" t="s">
        <v>16</v>
      </c>
      <c r="D452" t="str">
        <f t="shared" si="9"/>
        <v>PLUTO-Taurus-Leo</v>
      </c>
      <c r="E452" s="17" t="s">
        <v>104</v>
      </c>
      <c r="F452" s="18" t="s">
        <v>25</v>
      </c>
      <c r="G452" s="19" t="s">
        <v>9</v>
      </c>
      <c r="H452" s="20" t="s">
        <v>119</v>
      </c>
      <c r="I452" s="18" t="s">
        <v>14</v>
      </c>
      <c r="J452" t="s">
        <v>21</v>
      </c>
    </row>
    <row r="453" spans="1:10" x14ac:dyDescent="0.25">
      <c r="A453" t="s">
        <v>22</v>
      </c>
      <c r="B453" s="16" t="s">
        <v>9</v>
      </c>
      <c r="C453" t="s">
        <v>18</v>
      </c>
      <c r="D453" t="str">
        <f t="shared" si="9"/>
        <v>PLUTO-Taurus-Virgo</v>
      </c>
      <c r="E453" s="17" t="s">
        <v>105</v>
      </c>
      <c r="F453" s="18" t="s">
        <v>23</v>
      </c>
      <c r="G453" s="19" t="s">
        <v>9</v>
      </c>
      <c r="H453" s="20" t="s">
        <v>120</v>
      </c>
      <c r="I453" s="18" t="s">
        <v>12</v>
      </c>
      <c r="J453" t="s">
        <v>21</v>
      </c>
    </row>
    <row r="454" spans="1:10" x14ac:dyDescent="0.25">
      <c r="A454" t="s">
        <v>22</v>
      </c>
      <c r="B454" s="16" t="s">
        <v>9</v>
      </c>
      <c r="C454" t="s">
        <v>10</v>
      </c>
      <c r="D454" t="str">
        <f t="shared" si="9"/>
        <v>PLUTO-Taurus-Libra</v>
      </c>
      <c r="E454" s="17" t="s">
        <v>106</v>
      </c>
      <c r="F454" s="18" t="s">
        <v>21</v>
      </c>
      <c r="G454" s="19" t="s">
        <v>9</v>
      </c>
      <c r="H454" s="20" t="s">
        <v>121</v>
      </c>
      <c r="I454" s="18" t="s">
        <v>9</v>
      </c>
      <c r="J454" t="s">
        <v>21</v>
      </c>
    </row>
    <row r="455" spans="1:10" x14ac:dyDescent="0.25">
      <c r="A455" t="s">
        <v>22</v>
      </c>
      <c r="B455" s="16" t="s">
        <v>9</v>
      </c>
      <c r="C455" t="s">
        <v>21</v>
      </c>
      <c r="D455" t="str">
        <f t="shared" si="9"/>
        <v>PLUTO-Taurus-Scorpio</v>
      </c>
      <c r="E455" s="17" t="s">
        <v>107</v>
      </c>
      <c r="F455" s="18" t="s">
        <v>10</v>
      </c>
      <c r="G455" s="19" t="s">
        <v>9</v>
      </c>
      <c r="H455" s="20" t="s">
        <v>110</v>
      </c>
      <c r="I455" s="18" t="s">
        <v>7</v>
      </c>
      <c r="J455" t="s">
        <v>21</v>
      </c>
    </row>
    <row r="456" spans="1:10" x14ac:dyDescent="0.25">
      <c r="A456" t="s">
        <v>22</v>
      </c>
      <c r="B456" s="16" t="s">
        <v>9</v>
      </c>
      <c r="C456" t="s">
        <v>23</v>
      </c>
      <c r="D456" t="str">
        <f t="shared" si="9"/>
        <v>PLUTO-Taurus-Sagittarius</v>
      </c>
      <c r="E456" s="17" t="s">
        <v>108</v>
      </c>
      <c r="F456" s="18" t="s">
        <v>18</v>
      </c>
      <c r="G456" s="19" t="s">
        <v>9</v>
      </c>
      <c r="H456" s="20" t="s">
        <v>111</v>
      </c>
      <c r="I456" s="18" t="s">
        <v>29</v>
      </c>
      <c r="J456" t="s">
        <v>21</v>
      </c>
    </row>
    <row r="457" spans="1:10" x14ac:dyDescent="0.25">
      <c r="A457" t="s">
        <v>22</v>
      </c>
      <c r="B457" s="16" t="s">
        <v>9</v>
      </c>
      <c r="C457" t="s">
        <v>25</v>
      </c>
      <c r="D457" t="str">
        <f t="shared" si="9"/>
        <v>PLUTO-Taurus-Capricorn</v>
      </c>
      <c r="E457" s="17" t="s">
        <v>109</v>
      </c>
      <c r="F457" s="18" t="s">
        <v>16</v>
      </c>
      <c r="G457" s="19" t="s">
        <v>9</v>
      </c>
      <c r="H457" s="20" t="s">
        <v>112</v>
      </c>
      <c r="I457" s="18" t="s">
        <v>27</v>
      </c>
      <c r="J457" t="s">
        <v>21</v>
      </c>
    </row>
    <row r="458" spans="1:10" x14ac:dyDescent="0.25">
      <c r="A458" t="s">
        <v>22</v>
      </c>
      <c r="B458" s="16" t="s">
        <v>9</v>
      </c>
      <c r="C458" t="s">
        <v>27</v>
      </c>
      <c r="D458" t="str">
        <f t="shared" si="9"/>
        <v>PLUTO-Taurus-Aquarius</v>
      </c>
      <c r="E458" s="17" t="s">
        <v>99</v>
      </c>
      <c r="F458" s="18" t="s">
        <v>14</v>
      </c>
      <c r="G458" s="19" t="s">
        <v>9</v>
      </c>
      <c r="H458" s="20" t="s">
        <v>113</v>
      </c>
      <c r="I458" s="18" t="s">
        <v>25</v>
      </c>
      <c r="J458" t="s">
        <v>21</v>
      </c>
    </row>
    <row r="459" spans="1:10" x14ac:dyDescent="0.25">
      <c r="A459" t="s">
        <v>22</v>
      </c>
      <c r="B459" s="16" t="s">
        <v>9</v>
      </c>
      <c r="C459" t="s">
        <v>29</v>
      </c>
      <c r="D459" t="str">
        <f t="shared" si="9"/>
        <v>PLUTO-Taurus-Pisces</v>
      </c>
      <c r="E459" s="17" t="s">
        <v>101</v>
      </c>
      <c r="F459" s="18" t="s">
        <v>12</v>
      </c>
      <c r="G459" s="19" t="s">
        <v>9</v>
      </c>
      <c r="H459" s="20" t="s">
        <v>114</v>
      </c>
      <c r="I459" s="18" t="s">
        <v>23</v>
      </c>
      <c r="J459" t="s">
        <v>21</v>
      </c>
    </row>
    <row r="460" spans="1:10" x14ac:dyDescent="0.25">
      <c r="A460" t="s">
        <v>22</v>
      </c>
      <c r="B460" s="16" t="s">
        <v>12</v>
      </c>
      <c r="C460" t="s">
        <v>7</v>
      </c>
      <c r="D460" t="str">
        <f t="shared" si="9"/>
        <v>PLUTO-Gemini-Aries</v>
      </c>
      <c r="E460" s="17" t="s">
        <v>101</v>
      </c>
      <c r="F460" s="18" t="s">
        <v>12</v>
      </c>
      <c r="G460" s="19" t="s">
        <v>12</v>
      </c>
      <c r="H460" s="20" t="s">
        <v>115</v>
      </c>
      <c r="I460" s="18" t="s">
        <v>21</v>
      </c>
      <c r="J460" t="s">
        <v>21</v>
      </c>
    </row>
    <row r="461" spans="1:10" x14ac:dyDescent="0.25">
      <c r="A461" t="s">
        <v>22</v>
      </c>
      <c r="B461" s="16" t="s">
        <v>12</v>
      </c>
      <c r="C461" t="s">
        <v>9</v>
      </c>
      <c r="D461" t="str">
        <f t="shared" si="9"/>
        <v>PLUTO-Gemini-Taurus</v>
      </c>
      <c r="E461" s="17" t="s">
        <v>103</v>
      </c>
      <c r="F461" s="18" t="s">
        <v>9</v>
      </c>
      <c r="G461" s="19" t="s">
        <v>12</v>
      </c>
      <c r="H461" s="20" t="s">
        <v>116</v>
      </c>
      <c r="I461" s="18" t="s">
        <v>10</v>
      </c>
      <c r="J461" t="s">
        <v>21</v>
      </c>
    </row>
    <row r="462" spans="1:10" x14ac:dyDescent="0.25">
      <c r="A462" t="s">
        <v>22</v>
      </c>
      <c r="B462" s="16" t="s">
        <v>12</v>
      </c>
      <c r="C462" t="s">
        <v>12</v>
      </c>
      <c r="D462" t="str">
        <f t="shared" si="9"/>
        <v>PLUTO-Gemini-Gemini</v>
      </c>
      <c r="E462" s="17" t="s">
        <v>98</v>
      </c>
      <c r="F462" s="18" t="s">
        <v>7</v>
      </c>
      <c r="G462" s="19" t="s">
        <v>12</v>
      </c>
      <c r="H462" s="20" t="s">
        <v>117</v>
      </c>
      <c r="I462" s="18" t="s">
        <v>18</v>
      </c>
      <c r="J462" t="s">
        <v>21</v>
      </c>
    </row>
    <row r="463" spans="1:10" x14ac:dyDescent="0.25">
      <c r="A463" t="s">
        <v>22</v>
      </c>
      <c r="B463" s="16" t="s">
        <v>12</v>
      </c>
      <c r="C463" t="s">
        <v>14</v>
      </c>
      <c r="D463" t="str">
        <f t="shared" si="9"/>
        <v>PLUTO-Gemini-Cancer</v>
      </c>
      <c r="E463" s="17" t="s">
        <v>100</v>
      </c>
      <c r="F463" s="18" t="s">
        <v>29</v>
      </c>
      <c r="G463" s="19" t="s">
        <v>12</v>
      </c>
      <c r="H463" s="20" t="s">
        <v>118</v>
      </c>
      <c r="I463" s="18" t="s">
        <v>16</v>
      </c>
      <c r="J463" t="s">
        <v>21</v>
      </c>
    </row>
    <row r="464" spans="1:10" x14ac:dyDescent="0.25">
      <c r="A464" t="s">
        <v>22</v>
      </c>
      <c r="B464" s="16" t="s">
        <v>12</v>
      </c>
      <c r="C464" t="s">
        <v>16</v>
      </c>
      <c r="D464" t="str">
        <f t="shared" si="9"/>
        <v>PLUTO-Gemini-Leo</v>
      </c>
      <c r="E464" s="17" t="s">
        <v>102</v>
      </c>
      <c r="F464" s="18" t="s">
        <v>27</v>
      </c>
      <c r="G464" s="19" t="s">
        <v>12</v>
      </c>
      <c r="H464" s="20" t="s">
        <v>119</v>
      </c>
      <c r="I464" s="18" t="s">
        <v>14</v>
      </c>
      <c r="J464" t="s">
        <v>21</v>
      </c>
    </row>
    <row r="465" spans="1:10" x14ac:dyDescent="0.25">
      <c r="A465" t="s">
        <v>22</v>
      </c>
      <c r="B465" s="16" t="s">
        <v>12</v>
      </c>
      <c r="C465" t="s">
        <v>18</v>
      </c>
      <c r="D465" t="str">
        <f t="shared" si="9"/>
        <v>PLUTO-Gemini-Virgo</v>
      </c>
      <c r="E465" s="17" t="s">
        <v>104</v>
      </c>
      <c r="F465" s="18" t="s">
        <v>25</v>
      </c>
      <c r="G465" s="19" t="s">
        <v>12</v>
      </c>
      <c r="H465" s="20" t="s">
        <v>120</v>
      </c>
      <c r="I465" s="18" t="s">
        <v>12</v>
      </c>
      <c r="J465" t="s">
        <v>21</v>
      </c>
    </row>
    <row r="466" spans="1:10" x14ac:dyDescent="0.25">
      <c r="A466" t="s">
        <v>22</v>
      </c>
      <c r="B466" s="16" t="s">
        <v>12</v>
      </c>
      <c r="C466" t="s">
        <v>10</v>
      </c>
      <c r="D466" t="str">
        <f t="shared" si="9"/>
        <v>PLUTO-Gemini-Libra</v>
      </c>
      <c r="E466" s="17" t="s">
        <v>105</v>
      </c>
      <c r="F466" s="18" t="s">
        <v>23</v>
      </c>
      <c r="G466" s="19" t="s">
        <v>12</v>
      </c>
      <c r="H466" s="20" t="s">
        <v>121</v>
      </c>
      <c r="I466" s="18" t="s">
        <v>9</v>
      </c>
      <c r="J466" t="s">
        <v>21</v>
      </c>
    </row>
    <row r="467" spans="1:10" x14ac:dyDescent="0.25">
      <c r="A467" t="s">
        <v>22</v>
      </c>
      <c r="B467" s="16" t="s">
        <v>12</v>
      </c>
      <c r="C467" t="s">
        <v>21</v>
      </c>
      <c r="D467" t="str">
        <f t="shared" si="9"/>
        <v>PLUTO-Gemini-Scorpio</v>
      </c>
      <c r="E467" s="17" t="s">
        <v>106</v>
      </c>
      <c r="F467" s="18" t="s">
        <v>21</v>
      </c>
      <c r="G467" s="19" t="s">
        <v>12</v>
      </c>
      <c r="H467" s="20" t="s">
        <v>110</v>
      </c>
      <c r="I467" s="18" t="s">
        <v>7</v>
      </c>
      <c r="J467" t="s">
        <v>21</v>
      </c>
    </row>
    <row r="468" spans="1:10" x14ac:dyDescent="0.25">
      <c r="A468" t="s">
        <v>22</v>
      </c>
      <c r="B468" s="16" t="s">
        <v>12</v>
      </c>
      <c r="C468" t="s">
        <v>23</v>
      </c>
      <c r="D468" t="str">
        <f t="shared" si="9"/>
        <v>PLUTO-Gemini-Sagittarius</v>
      </c>
      <c r="E468" s="17" t="s">
        <v>107</v>
      </c>
      <c r="F468" s="18" t="s">
        <v>10</v>
      </c>
      <c r="G468" s="19" t="s">
        <v>12</v>
      </c>
      <c r="H468" s="20" t="s">
        <v>111</v>
      </c>
      <c r="I468" s="18" t="s">
        <v>29</v>
      </c>
      <c r="J468" t="s">
        <v>21</v>
      </c>
    </row>
    <row r="469" spans="1:10" x14ac:dyDescent="0.25">
      <c r="A469" t="s">
        <v>22</v>
      </c>
      <c r="B469" s="16" t="s">
        <v>12</v>
      </c>
      <c r="C469" t="s">
        <v>25</v>
      </c>
      <c r="D469" t="str">
        <f t="shared" si="9"/>
        <v>PLUTO-Gemini-Capricorn</v>
      </c>
      <c r="E469" s="17" t="s">
        <v>108</v>
      </c>
      <c r="F469" s="18" t="s">
        <v>18</v>
      </c>
      <c r="G469" s="19" t="s">
        <v>12</v>
      </c>
      <c r="H469" s="20" t="s">
        <v>112</v>
      </c>
      <c r="I469" s="18" t="s">
        <v>27</v>
      </c>
      <c r="J469" t="s">
        <v>21</v>
      </c>
    </row>
    <row r="470" spans="1:10" x14ac:dyDescent="0.25">
      <c r="A470" t="s">
        <v>22</v>
      </c>
      <c r="B470" s="16" t="s">
        <v>12</v>
      </c>
      <c r="C470" t="s">
        <v>27</v>
      </c>
      <c r="D470" t="str">
        <f t="shared" si="9"/>
        <v>PLUTO-Gemini-Aquarius</v>
      </c>
      <c r="E470" s="17" t="s">
        <v>109</v>
      </c>
      <c r="F470" s="18" t="s">
        <v>16</v>
      </c>
      <c r="G470" s="19" t="s">
        <v>12</v>
      </c>
      <c r="H470" s="20" t="s">
        <v>113</v>
      </c>
      <c r="I470" s="18" t="s">
        <v>25</v>
      </c>
      <c r="J470" t="s">
        <v>21</v>
      </c>
    </row>
    <row r="471" spans="1:10" x14ac:dyDescent="0.25">
      <c r="A471" t="s">
        <v>22</v>
      </c>
      <c r="B471" s="16" t="s">
        <v>12</v>
      </c>
      <c r="C471" t="s">
        <v>29</v>
      </c>
      <c r="D471" t="str">
        <f t="shared" si="9"/>
        <v>PLUTO-Gemini-Pisces</v>
      </c>
      <c r="E471" s="17" t="s">
        <v>99</v>
      </c>
      <c r="F471" s="18" t="s">
        <v>14</v>
      </c>
      <c r="G471" s="19" t="s">
        <v>12</v>
      </c>
      <c r="H471" s="20" t="s">
        <v>114</v>
      </c>
      <c r="I471" s="18" t="s">
        <v>23</v>
      </c>
      <c r="J471" t="s">
        <v>21</v>
      </c>
    </row>
    <row r="472" spans="1:10" x14ac:dyDescent="0.25">
      <c r="A472" t="s">
        <v>22</v>
      </c>
      <c r="B472" s="16" t="s">
        <v>14</v>
      </c>
      <c r="C472" t="s">
        <v>7</v>
      </c>
      <c r="D472" t="str">
        <f t="shared" si="9"/>
        <v>PLUTO-Cancer-Aries</v>
      </c>
      <c r="E472" s="17" t="s">
        <v>99</v>
      </c>
      <c r="F472" s="18" t="s">
        <v>14</v>
      </c>
      <c r="G472" s="19" t="s">
        <v>14</v>
      </c>
      <c r="H472" s="20" t="s">
        <v>115</v>
      </c>
      <c r="I472" s="18" t="s">
        <v>21</v>
      </c>
      <c r="J472" t="s">
        <v>21</v>
      </c>
    </row>
    <row r="473" spans="1:10" x14ac:dyDescent="0.25">
      <c r="A473" t="s">
        <v>22</v>
      </c>
      <c r="B473" s="16" t="s">
        <v>14</v>
      </c>
      <c r="C473" t="s">
        <v>9</v>
      </c>
      <c r="D473" t="str">
        <f t="shared" si="9"/>
        <v>PLUTO-Cancer-Taurus</v>
      </c>
      <c r="E473" s="17" t="s">
        <v>101</v>
      </c>
      <c r="F473" s="18" t="s">
        <v>12</v>
      </c>
      <c r="G473" s="19" t="s">
        <v>14</v>
      </c>
      <c r="H473" s="20" t="s">
        <v>116</v>
      </c>
      <c r="I473" s="18" t="s">
        <v>10</v>
      </c>
      <c r="J473" t="s">
        <v>21</v>
      </c>
    </row>
    <row r="474" spans="1:10" x14ac:dyDescent="0.25">
      <c r="A474" t="s">
        <v>22</v>
      </c>
      <c r="B474" s="16" t="s">
        <v>14</v>
      </c>
      <c r="C474" t="s">
        <v>12</v>
      </c>
      <c r="D474" t="str">
        <f t="shared" si="9"/>
        <v>PLUTO-Cancer-Gemini</v>
      </c>
      <c r="E474" s="17" t="s">
        <v>103</v>
      </c>
      <c r="F474" s="18" t="s">
        <v>9</v>
      </c>
      <c r="G474" s="19" t="s">
        <v>14</v>
      </c>
      <c r="H474" s="20" t="s">
        <v>117</v>
      </c>
      <c r="I474" s="18" t="s">
        <v>18</v>
      </c>
      <c r="J474" t="s">
        <v>21</v>
      </c>
    </row>
    <row r="475" spans="1:10" x14ac:dyDescent="0.25">
      <c r="A475" t="s">
        <v>22</v>
      </c>
      <c r="B475" s="16" t="s">
        <v>14</v>
      </c>
      <c r="C475" t="s">
        <v>14</v>
      </c>
      <c r="D475" t="str">
        <f t="shared" si="9"/>
        <v>PLUTO-Cancer-Cancer</v>
      </c>
      <c r="E475" s="17" t="s">
        <v>98</v>
      </c>
      <c r="F475" s="18" t="s">
        <v>7</v>
      </c>
      <c r="G475" s="19" t="s">
        <v>14</v>
      </c>
      <c r="H475" s="20" t="s">
        <v>118</v>
      </c>
      <c r="I475" s="18" t="s">
        <v>16</v>
      </c>
      <c r="J475" t="s">
        <v>21</v>
      </c>
    </row>
    <row r="476" spans="1:10" x14ac:dyDescent="0.25">
      <c r="A476" t="s">
        <v>22</v>
      </c>
      <c r="B476" s="16" t="s">
        <v>14</v>
      </c>
      <c r="C476" t="s">
        <v>16</v>
      </c>
      <c r="D476" t="str">
        <f t="shared" si="9"/>
        <v>PLUTO-Cancer-Leo</v>
      </c>
      <c r="E476" s="17" t="s">
        <v>100</v>
      </c>
      <c r="F476" s="18" t="s">
        <v>29</v>
      </c>
      <c r="G476" s="19" t="s">
        <v>14</v>
      </c>
      <c r="H476" s="20" t="s">
        <v>119</v>
      </c>
      <c r="I476" s="18" t="s">
        <v>14</v>
      </c>
      <c r="J476" t="s">
        <v>21</v>
      </c>
    </row>
    <row r="477" spans="1:10" x14ac:dyDescent="0.25">
      <c r="A477" t="s">
        <v>22</v>
      </c>
      <c r="B477" s="16" t="s">
        <v>14</v>
      </c>
      <c r="C477" t="s">
        <v>18</v>
      </c>
      <c r="D477" t="str">
        <f t="shared" si="9"/>
        <v>PLUTO-Cancer-Virgo</v>
      </c>
      <c r="E477" s="17" t="s">
        <v>102</v>
      </c>
      <c r="F477" s="18" t="s">
        <v>27</v>
      </c>
      <c r="G477" s="19" t="s">
        <v>14</v>
      </c>
      <c r="H477" s="20" t="s">
        <v>120</v>
      </c>
      <c r="I477" s="18" t="s">
        <v>12</v>
      </c>
      <c r="J477" t="s">
        <v>21</v>
      </c>
    </row>
    <row r="478" spans="1:10" x14ac:dyDescent="0.25">
      <c r="A478" t="s">
        <v>22</v>
      </c>
      <c r="B478" s="16" t="s">
        <v>14</v>
      </c>
      <c r="C478" t="s">
        <v>10</v>
      </c>
      <c r="D478" t="str">
        <f t="shared" si="9"/>
        <v>PLUTO-Cancer-Libra</v>
      </c>
      <c r="E478" s="17" t="s">
        <v>104</v>
      </c>
      <c r="F478" s="18" t="s">
        <v>25</v>
      </c>
      <c r="G478" s="19" t="s">
        <v>14</v>
      </c>
      <c r="H478" s="20" t="s">
        <v>121</v>
      </c>
      <c r="I478" s="18" t="s">
        <v>9</v>
      </c>
      <c r="J478" t="s">
        <v>21</v>
      </c>
    </row>
    <row r="479" spans="1:10" x14ac:dyDescent="0.25">
      <c r="A479" t="s">
        <v>22</v>
      </c>
      <c r="B479" s="16" t="s">
        <v>14</v>
      </c>
      <c r="C479" t="s">
        <v>21</v>
      </c>
      <c r="D479" t="str">
        <f t="shared" si="9"/>
        <v>PLUTO-Cancer-Scorpio</v>
      </c>
      <c r="E479" s="17" t="s">
        <v>105</v>
      </c>
      <c r="F479" s="18" t="s">
        <v>23</v>
      </c>
      <c r="G479" s="19" t="s">
        <v>14</v>
      </c>
      <c r="H479" s="20" t="s">
        <v>110</v>
      </c>
      <c r="I479" s="18" t="s">
        <v>7</v>
      </c>
      <c r="J479" t="s">
        <v>21</v>
      </c>
    </row>
    <row r="480" spans="1:10" x14ac:dyDescent="0.25">
      <c r="A480" t="s">
        <v>22</v>
      </c>
      <c r="B480" s="16" t="s">
        <v>14</v>
      </c>
      <c r="C480" t="s">
        <v>23</v>
      </c>
      <c r="D480" t="str">
        <f t="shared" si="9"/>
        <v>PLUTO-Cancer-Sagittarius</v>
      </c>
      <c r="E480" s="17" t="s">
        <v>106</v>
      </c>
      <c r="F480" s="18" t="s">
        <v>21</v>
      </c>
      <c r="G480" s="19" t="s">
        <v>14</v>
      </c>
      <c r="H480" s="20" t="s">
        <v>111</v>
      </c>
      <c r="I480" s="18" t="s">
        <v>29</v>
      </c>
      <c r="J480" t="s">
        <v>21</v>
      </c>
    </row>
    <row r="481" spans="1:10" x14ac:dyDescent="0.25">
      <c r="A481" t="s">
        <v>22</v>
      </c>
      <c r="B481" s="16" t="s">
        <v>14</v>
      </c>
      <c r="C481" t="s">
        <v>25</v>
      </c>
      <c r="D481" t="str">
        <f t="shared" si="9"/>
        <v>PLUTO-Cancer-Capricorn</v>
      </c>
      <c r="E481" s="17" t="s">
        <v>107</v>
      </c>
      <c r="F481" s="18" t="s">
        <v>10</v>
      </c>
      <c r="G481" s="19" t="s">
        <v>14</v>
      </c>
      <c r="H481" s="20" t="s">
        <v>112</v>
      </c>
      <c r="I481" s="18" t="s">
        <v>27</v>
      </c>
      <c r="J481" t="s">
        <v>21</v>
      </c>
    </row>
    <row r="482" spans="1:10" x14ac:dyDescent="0.25">
      <c r="A482" t="s">
        <v>22</v>
      </c>
      <c r="B482" s="16" t="s">
        <v>14</v>
      </c>
      <c r="C482" t="s">
        <v>27</v>
      </c>
      <c r="D482" t="str">
        <f t="shared" si="9"/>
        <v>PLUTO-Cancer-Aquarius</v>
      </c>
      <c r="E482" s="17" t="s">
        <v>108</v>
      </c>
      <c r="F482" s="18" t="s">
        <v>18</v>
      </c>
      <c r="G482" s="19" t="s">
        <v>14</v>
      </c>
      <c r="H482" s="20" t="s">
        <v>113</v>
      </c>
      <c r="I482" s="18" t="s">
        <v>25</v>
      </c>
      <c r="J482" t="s">
        <v>21</v>
      </c>
    </row>
    <row r="483" spans="1:10" x14ac:dyDescent="0.25">
      <c r="A483" t="s">
        <v>22</v>
      </c>
      <c r="B483" s="16" t="s">
        <v>14</v>
      </c>
      <c r="C483" t="s">
        <v>29</v>
      </c>
      <c r="D483" t="str">
        <f t="shared" si="9"/>
        <v>PLUTO-Cancer-Pisces</v>
      </c>
      <c r="E483" s="17" t="s">
        <v>109</v>
      </c>
      <c r="F483" s="18" t="s">
        <v>16</v>
      </c>
      <c r="G483" s="19" t="s">
        <v>14</v>
      </c>
      <c r="H483" s="20" t="s">
        <v>114</v>
      </c>
      <c r="I483" s="18" t="s">
        <v>23</v>
      </c>
      <c r="J483" t="s">
        <v>21</v>
      </c>
    </row>
    <row r="484" spans="1:10" x14ac:dyDescent="0.25">
      <c r="A484" t="s">
        <v>22</v>
      </c>
      <c r="B484" s="16" t="s">
        <v>16</v>
      </c>
      <c r="C484" t="s">
        <v>7</v>
      </c>
      <c r="D484" t="str">
        <f t="shared" si="9"/>
        <v>PLUTO-Leo-Aries</v>
      </c>
      <c r="E484" s="17" t="s">
        <v>109</v>
      </c>
      <c r="F484" s="18" t="s">
        <v>16</v>
      </c>
      <c r="G484" s="19" t="s">
        <v>16</v>
      </c>
      <c r="H484" s="20" t="s">
        <v>115</v>
      </c>
      <c r="I484" s="18" t="s">
        <v>21</v>
      </c>
      <c r="J484" t="s">
        <v>21</v>
      </c>
    </row>
    <row r="485" spans="1:10" x14ac:dyDescent="0.25">
      <c r="A485" t="s">
        <v>22</v>
      </c>
      <c r="B485" s="16" t="s">
        <v>16</v>
      </c>
      <c r="C485" t="s">
        <v>9</v>
      </c>
      <c r="D485" t="str">
        <f t="shared" si="9"/>
        <v>PLUTO-Leo-Taurus</v>
      </c>
      <c r="E485" s="17" t="s">
        <v>99</v>
      </c>
      <c r="F485" s="18" t="s">
        <v>14</v>
      </c>
      <c r="G485" s="19" t="s">
        <v>16</v>
      </c>
      <c r="H485" s="20" t="s">
        <v>116</v>
      </c>
      <c r="I485" s="18" t="s">
        <v>10</v>
      </c>
      <c r="J485" t="s">
        <v>21</v>
      </c>
    </row>
    <row r="486" spans="1:10" x14ac:dyDescent="0.25">
      <c r="A486" t="s">
        <v>22</v>
      </c>
      <c r="B486" s="16" t="s">
        <v>16</v>
      </c>
      <c r="C486" t="s">
        <v>12</v>
      </c>
      <c r="D486" t="str">
        <f t="shared" si="9"/>
        <v>PLUTO-Leo-Gemini</v>
      </c>
      <c r="E486" s="17" t="s">
        <v>101</v>
      </c>
      <c r="F486" s="18" t="s">
        <v>12</v>
      </c>
      <c r="G486" s="19" t="s">
        <v>16</v>
      </c>
      <c r="H486" s="20" t="s">
        <v>117</v>
      </c>
      <c r="I486" s="18" t="s">
        <v>18</v>
      </c>
      <c r="J486" t="s">
        <v>21</v>
      </c>
    </row>
    <row r="487" spans="1:10" x14ac:dyDescent="0.25">
      <c r="A487" t="s">
        <v>22</v>
      </c>
      <c r="B487" s="16" t="s">
        <v>16</v>
      </c>
      <c r="C487" t="s">
        <v>14</v>
      </c>
      <c r="D487" t="str">
        <f t="shared" si="9"/>
        <v>PLUTO-Leo-Cancer</v>
      </c>
      <c r="E487" s="17" t="s">
        <v>103</v>
      </c>
      <c r="F487" s="18" t="s">
        <v>9</v>
      </c>
      <c r="G487" s="19" t="s">
        <v>16</v>
      </c>
      <c r="H487" s="20" t="s">
        <v>118</v>
      </c>
      <c r="I487" s="18" t="s">
        <v>16</v>
      </c>
      <c r="J487" t="s">
        <v>21</v>
      </c>
    </row>
    <row r="488" spans="1:10" x14ac:dyDescent="0.25">
      <c r="A488" t="s">
        <v>22</v>
      </c>
      <c r="B488" s="16" t="s">
        <v>16</v>
      </c>
      <c r="C488" t="s">
        <v>16</v>
      </c>
      <c r="D488" t="str">
        <f t="shared" si="9"/>
        <v>PLUTO-Leo-Leo</v>
      </c>
      <c r="E488" s="17" t="s">
        <v>98</v>
      </c>
      <c r="F488" s="18" t="s">
        <v>7</v>
      </c>
      <c r="G488" s="19" t="s">
        <v>16</v>
      </c>
      <c r="H488" s="20" t="s">
        <v>119</v>
      </c>
      <c r="I488" s="18" t="s">
        <v>14</v>
      </c>
      <c r="J488" t="s">
        <v>21</v>
      </c>
    </row>
    <row r="489" spans="1:10" x14ac:dyDescent="0.25">
      <c r="A489" t="s">
        <v>22</v>
      </c>
      <c r="B489" s="16" t="s">
        <v>16</v>
      </c>
      <c r="C489" t="s">
        <v>18</v>
      </c>
      <c r="D489" t="str">
        <f t="shared" si="9"/>
        <v>PLUTO-Leo-Virgo</v>
      </c>
      <c r="E489" s="17" t="s">
        <v>100</v>
      </c>
      <c r="F489" s="18" t="s">
        <v>29</v>
      </c>
      <c r="G489" s="19" t="s">
        <v>16</v>
      </c>
      <c r="H489" s="20" t="s">
        <v>120</v>
      </c>
      <c r="I489" s="18" t="s">
        <v>12</v>
      </c>
      <c r="J489" t="s">
        <v>21</v>
      </c>
    </row>
    <row r="490" spans="1:10" x14ac:dyDescent="0.25">
      <c r="A490" t="s">
        <v>22</v>
      </c>
      <c r="B490" s="16" t="s">
        <v>16</v>
      </c>
      <c r="C490" t="s">
        <v>10</v>
      </c>
      <c r="D490" t="str">
        <f t="shared" si="9"/>
        <v>PLUTO-Leo-Libra</v>
      </c>
      <c r="E490" s="17" t="s">
        <v>102</v>
      </c>
      <c r="F490" s="18" t="s">
        <v>27</v>
      </c>
      <c r="G490" s="19" t="s">
        <v>16</v>
      </c>
      <c r="H490" s="20" t="s">
        <v>121</v>
      </c>
      <c r="I490" s="18" t="s">
        <v>9</v>
      </c>
      <c r="J490" t="s">
        <v>21</v>
      </c>
    </row>
    <row r="491" spans="1:10" x14ac:dyDescent="0.25">
      <c r="A491" t="s">
        <v>22</v>
      </c>
      <c r="B491" s="16" t="s">
        <v>16</v>
      </c>
      <c r="C491" t="s">
        <v>21</v>
      </c>
      <c r="D491" t="str">
        <f t="shared" si="9"/>
        <v>PLUTO-Leo-Scorpio</v>
      </c>
      <c r="E491" s="17" t="s">
        <v>104</v>
      </c>
      <c r="F491" s="18" t="s">
        <v>25</v>
      </c>
      <c r="G491" s="19" t="s">
        <v>16</v>
      </c>
      <c r="H491" s="20" t="s">
        <v>110</v>
      </c>
      <c r="I491" s="18" t="s">
        <v>7</v>
      </c>
      <c r="J491" t="s">
        <v>21</v>
      </c>
    </row>
    <row r="492" spans="1:10" x14ac:dyDescent="0.25">
      <c r="A492" t="s">
        <v>22</v>
      </c>
      <c r="B492" s="16" t="s">
        <v>16</v>
      </c>
      <c r="C492" t="s">
        <v>23</v>
      </c>
      <c r="D492" t="str">
        <f t="shared" si="9"/>
        <v>PLUTO-Leo-Sagittarius</v>
      </c>
      <c r="E492" s="17" t="s">
        <v>105</v>
      </c>
      <c r="F492" s="18" t="s">
        <v>23</v>
      </c>
      <c r="G492" s="19" t="s">
        <v>16</v>
      </c>
      <c r="H492" s="20" t="s">
        <v>111</v>
      </c>
      <c r="I492" s="18" t="s">
        <v>29</v>
      </c>
      <c r="J492" t="s">
        <v>21</v>
      </c>
    </row>
    <row r="493" spans="1:10" x14ac:dyDescent="0.25">
      <c r="A493" t="s">
        <v>22</v>
      </c>
      <c r="B493" s="16" t="s">
        <v>16</v>
      </c>
      <c r="C493" t="s">
        <v>25</v>
      </c>
      <c r="D493" t="str">
        <f t="shared" si="9"/>
        <v>PLUTO-Leo-Capricorn</v>
      </c>
      <c r="E493" s="17" t="s">
        <v>106</v>
      </c>
      <c r="F493" s="18" t="s">
        <v>21</v>
      </c>
      <c r="G493" s="19" t="s">
        <v>16</v>
      </c>
      <c r="H493" s="20" t="s">
        <v>112</v>
      </c>
      <c r="I493" s="18" t="s">
        <v>27</v>
      </c>
      <c r="J493" t="s">
        <v>21</v>
      </c>
    </row>
    <row r="494" spans="1:10" x14ac:dyDescent="0.25">
      <c r="A494" t="s">
        <v>22</v>
      </c>
      <c r="B494" s="16" t="s">
        <v>16</v>
      </c>
      <c r="C494" t="s">
        <v>27</v>
      </c>
      <c r="D494" t="str">
        <f t="shared" si="9"/>
        <v>PLUTO-Leo-Aquarius</v>
      </c>
      <c r="E494" s="17" t="s">
        <v>107</v>
      </c>
      <c r="F494" s="18" t="s">
        <v>10</v>
      </c>
      <c r="G494" s="19" t="s">
        <v>16</v>
      </c>
      <c r="H494" s="20" t="s">
        <v>113</v>
      </c>
      <c r="I494" s="18" t="s">
        <v>25</v>
      </c>
      <c r="J494" t="s">
        <v>21</v>
      </c>
    </row>
    <row r="495" spans="1:10" x14ac:dyDescent="0.25">
      <c r="A495" t="s">
        <v>22</v>
      </c>
      <c r="B495" s="16" t="s">
        <v>16</v>
      </c>
      <c r="C495" t="s">
        <v>29</v>
      </c>
      <c r="D495" t="str">
        <f t="shared" si="9"/>
        <v>PLUTO-Leo-Pisces</v>
      </c>
      <c r="E495" s="17" t="s">
        <v>108</v>
      </c>
      <c r="F495" s="18" t="s">
        <v>18</v>
      </c>
      <c r="G495" s="19" t="s">
        <v>16</v>
      </c>
      <c r="H495" s="20" t="s">
        <v>114</v>
      </c>
      <c r="I495" s="18" t="s">
        <v>23</v>
      </c>
      <c r="J495" t="s">
        <v>21</v>
      </c>
    </row>
    <row r="496" spans="1:10" x14ac:dyDescent="0.25">
      <c r="A496" t="s">
        <v>22</v>
      </c>
      <c r="B496" s="16" t="s">
        <v>18</v>
      </c>
      <c r="C496" t="s">
        <v>7</v>
      </c>
      <c r="D496" t="str">
        <f t="shared" si="9"/>
        <v>PLUTO-Virgo-Aries</v>
      </c>
      <c r="E496" s="17" t="s">
        <v>108</v>
      </c>
      <c r="F496" s="18" t="s">
        <v>18</v>
      </c>
      <c r="G496" s="19" t="s">
        <v>18</v>
      </c>
      <c r="H496" s="20" t="s">
        <v>115</v>
      </c>
      <c r="I496" s="18" t="s">
        <v>21</v>
      </c>
      <c r="J496" t="s">
        <v>21</v>
      </c>
    </row>
    <row r="497" spans="1:10" x14ac:dyDescent="0.25">
      <c r="A497" t="s">
        <v>22</v>
      </c>
      <c r="B497" s="16" t="s">
        <v>18</v>
      </c>
      <c r="C497" t="s">
        <v>9</v>
      </c>
      <c r="D497" t="str">
        <f t="shared" si="9"/>
        <v>PLUTO-Virgo-Taurus</v>
      </c>
      <c r="E497" s="17" t="s">
        <v>109</v>
      </c>
      <c r="F497" s="18" t="s">
        <v>16</v>
      </c>
      <c r="G497" s="19" t="s">
        <v>18</v>
      </c>
      <c r="H497" s="20" t="s">
        <v>116</v>
      </c>
      <c r="I497" s="18" t="s">
        <v>10</v>
      </c>
      <c r="J497" t="s">
        <v>21</v>
      </c>
    </row>
    <row r="498" spans="1:10" x14ac:dyDescent="0.25">
      <c r="A498" t="s">
        <v>22</v>
      </c>
      <c r="B498" s="16" t="s">
        <v>18</v>
      </c>
      <c r="C498" t="s">
        <v>12</v>
      </c>
      <c r="D498" t="str">
        <f t="shared" si="9"/>
        <v>PLUTO-Virgo-Gemini</v>
      </c>
      <c r="E498" s="17" t="s">
        <v>99</v>
      </c>
      <c r="F498" s="18" t="s">
        <v>14</v>
      </c>
      <c r="G498" s="19" t="s">
        <v>18</v>
      </c>
      <c r="H498" s="20" t="s">
        <v>117</v>
      </c>
      <c r="I498" s="18" t="s">
        <v>18</v>
      </c>
      <c r="J498" t="s">
        <v>21</v>
      </c>
    </row>
    <row r="499" spans="1:10" x14ac:dyDescent="0.25">
      <c r="A499" t="s">
        <v>22</v>
      </c>
      <c r="B499" s="16" t="s">
        <v>18</v>
      </c>
      <c r="C499" t="s">
        <v>14</v>
      </c>
      <c r="D499" t="str">
        <f t="shared" si="9"/>
        <v>PLUTO-Virgo-Cancer</v>
      </c>
      <c r="E499" s="17" t="s">
        <v>101</v>
      </c>
      <c r="F499" s="18" t="s">
        <v>12</v>
      </c>
      <c r="G499" s="19" t="s">
        <v>18</v>
      </c>
      <c r="H499" s="20" t="s">
        <v>118</v>
      </c>
      <c r="I499" s="18" t="s">
        <v>16</v>
      </c>
      <c r="J499" t="s">
        <v>21</v>
      </c>
    </row>
    <row r="500" spans="1:10" x14ac:dyDescent="0.25">
      <c r="A500" t="s">
        <v>22</v>
      </c>
      <c r="B500" s="16" t="s">
        <v>18</v>
      </c>
      <c r="C500" t="s">
        <v>16</v>
      </c>
      <c r="D500" t="str">
        <f t="shared" si="9"/>
        <v>PLUTO-Virgo-Leo</v>
      </c>
      <c r="E500" s="17" t="s">
        <v>103</v>
      </c>
      <c r="F500" s="18" t="s">
        <v>9</v>
      </c>
      <c r="G500" s="19" t="s">
        <v>18</v>
      </c>
      <c r="H500" s="20" t="s">
        <v>119</v>
      </c>
      <c r="I500" s="18" t="s">
        <v>14</v>
      </c>
      <c r="J500" t="s">
        <v>21</v>
      </c>
    </row>
    <row r="501" spans="1:10" x14ac:dyDescent="0.25">
      <c r="A501" t="s">
        <v>22</v>
      </c>
      <c r="B501" s="16" t="s">
        <v>18</v>
      </c>
      <c r="C501" t="s">
        <v>18</v>
      </c>
      <c r="D501" t="str">
        <f t="shared" ref="D501:D564" si="10">A501&amp;"-"&amp;B501&amp;"-"&amp;C501</f>
        <v>PLUTO-Virgo-Virgo</v>
      </c>
      <c r="E501" s="17" t="s">
        <v>98</v>
      </c>
      <c r="F501" s="18" t="s">
        <v>7</v>
      </c>
      <c r="G501" s="19" t="s">
        <v>18</v>
      </c>
      <c r="H501" s="20" t="s">
        <v>120</v>
      </c>
      <c r="I501" s="18" t="s">
        <v>12</v>
      </c>
      <c r="J501" t="s">
        <v>21</v>
      </c>
    </row>
    <row r="502" spans="1:10" x14ac:dyDescent="0.25">
      <c r="A502" t="s">
        <v>22</v>
      </c>
      <c r="B502" s="16" t="s">
        <v>18</v>
      </c>
      <c r="C502" t="s">
        <v>10</v>
      </c>
      <c r="D502" t="str">
        <f t="shared" si="10"/>
        <v>PLUTO-Virgo-Libra</v>
      </c>
      <c r="E502" s="17" t="s">
        <v>100</v>
      </c>
      <c r="F502" s="18" t="s">
        <v>29</v>
      </c>
      <c r="G502" s="19" t="s">
        <v>18</v>
      </c>
      <c r="H502" s="20" t="s">
        <v>121</v>
      </c>
      <c r="I502" s="18" t="s">
        <v>9</v>
      </c>
      <c r="J502" t="s">
        <v>21</v>
      </c>
    </row>
    <row r="503" spans="1:10" x14ac:dyDescent="0.25">
      <c r="A503" t="s">
        <v>22</v>
      </c>
      <c r="B503" s="16" t="s">
        <v>18</v>
      </c>
      <c r="C503" t="s">
        <v>21</v>
      </c>
      <c r="D503" t="str">
        <f t="shared" si="10"/>
        <v>PLUTO-Virgo-Scorpio</v>
      </c>
      <c r="E503" s="17" t="s">
        <v>102</v>
      </c>
      <c r="F503" s="18" t="s">
        <v>27</v>
      </c>
      <c r="G503" s="19" t="s">
        <v>18</v>
      </c>
      <c r="H503" s="20" t="s">
        <v>110</v>
      </c>
      <c r="I503" s="18" t="s">
        <v>7</v>
      </c>
      <c r="J503" t="s">
        <v>21</v>
      </c>
    </row>
    <row r="504" spans="1:10" x14ac:dyDescent="0.25">
      <c r="A504" t="s">
        <v>22</v>
      </c>
      <c r="B504" s="16" t="s">
        <v>18</v>
      </c>
      <c r="C504" t="s">
        <v>23</v>
      </c>
      <c r="D504" t="str">
        <f t="shared" si="10"/>
        <v>PLUTO-Virgo-Sagittarius</v>
      </c>
      <c r="E504" s="17" t="s">
        <v>104</v>
      </c>
      <c r="F504" s="18" t="s">
        <v>25</v>
      </c>
      <c r="G504" s="19" t="s">
        <v>18</v>
      </c>
      <c r="H504" s="20" t="s">
        <v>111</v>
      </c>
      <c r="I504" s="18" t="s">
        <v>29</v>
      </c>
      <c r="J504" t="s">
        <v>21</v>
      </c>
    </row>
    <row r="505" spans="1:10" x14ac:dyDescent="0.25">
      <c r="A505" t="s">
        <v>22</v>
      </c>
      <c r="B505" s="16" t="s">
        <v>18</v>
      </c>
      <c r="C505" t="s">
        <v>25</v>
      </c>
      <c r="D505" t="str">
        <f t="shared" si="10"/>
        <v>PLUTO-Virgo-Capricorn</v>
      </c>
      <c r="E505" s="17" t="s">
        <v>105</v>
      </c>
      <c r="F505" s="18" t="s">
        <v>23</v>
      </c>
      <c r="G505" s="19" t="s">
        <v>18</v>
      </c>
      <c r="H505" s="20" t="s">
        <v>112</v>
      </c>
      <c r="I505" s="18" t="s">
        <v>27</v>
      </c>
      <c r="J505" t="s">
        <v>21</v>
      </c>
    </row>
    <row r="506" spans="1:10" x14ac:dyDescent="0.25">
      <c r="A506" t="s">
        <v>22</v>
      </c>
      <c r="B506" s="16" t="s">
        <v>18</v>
      </c>
      <c r="C506" t="s">
        <v>27</v>
      </c>
      <c r="D506" t="str">
        <f t="shared" si="10"/>
        <v>PLUTO-Virgo-Aquarius</v>
      </c>
      <c r="E506" s="17" t="s">
        <v>106</v>
      </c>
      <c r="F506" s="18" t="s">
        <v>21</v>
      </c>
      <c r="G506" s="19" t="s">
        <v>18</v>
      </c>
      <c r="H506" s="20" t="s">
        <v>113</v>
      </c>
      <c r="I506" s="18" t="s">
        <v>25</v>
      </c>
      <c r="J506" t="s">
        <v>21</v>
      </c>
    </row>
    <row r="507" spans="1:10" x14ac:dyDescent="0.25">
      <c r="A507" t="s">
        <v>22</v>
      </c>
      <c r="B507" s="16" t="s">
        <v>18</v>
      </c>
      <c r="C507" t="s">
        <v>29</v>
      </c>
      <c r="D507" t="str">
        <f t="shared" si="10"/>
        <v>PLUTO-Virgo-Pisces</v>
      </c>
      <c r="E507" s="17" t="s">
        <v>107</v>
      </c>
      <c r="F507" s="18" t="s">
        <v>10</v>
      </c>
      <c r="G507" s="19" t="s">
        <v>18</v>
      </c>
      <c r="H507" s="20" t="s">
        <v>114</v>
      </c>
      <c r="I507" s="18" t="s">
        <v>23</v>
      </c>
      <c r="J507" t="s">
        <v>21</v>
      </c>
    </row>
    <row r="508" spans="1:10" x14ac:dyDescent="0.25">
      <c r="A508" t="s">
        <v>22</v>
      </c>
      <c r="B508" s="16" t="s">
        <v>10</v>
      </c>
      <c r="C508" t="s">
        <v>7</v>
      </c>
      <c r="D508" t="str">
        <f t="shared" si="10"/>
        <v>PLUTO-Libra-Aries</v>
      </c>
      <c r="E508" s="17" t="s">
        <v>107</v>
      </c>
      <c r="F508" s="18" t="s">
        <v>10</v>
      </c>
      <c r="G508" s="19" t="s">
        <v>10</v>
      </c>
      <c r="H508" s="20" t="s">
        <v>115</v>
      </c>
      <c r="I508" s="18" t="s">
        <v>21</v>
      </c>
      <c r="J508" t="s">
        <v>21</v>
      </c>
    </row>
    <row r="509" spans="1:10" x14ac:dyDescent="0.25">
      <c r="A509" t="s">
        <v>22</v>
      </c>
      <c r="B509" s="16" t="s">
        <v>10</v>
      </c>
      <c r="C509" t="s">
        <v>9</v>
      </c>
      <c r="D509" t="str">
        <f t="shared" si="10"/>
        <v>PLUTO-Libra-Taurus</v>
      </c>
      <c r="E509" s="17" t="s">
        <v>108</v>
      </c>
      <c r="F509" s="18" t="s">
        <v>18</v>
      </c>
      <c r="G509" s="19" t="s">
        <v>10</v>
      </c>
      <c r="H509" s="20" t="s">
        <v>116</v>
      </c>
      <c r="I509" s="18" t="s">
        <v>10</v>
      </c>
      <c r="J509" t="s">
        <v>21</v>
      </c>
    </row>
    <row r="510" spans="1:10" x14ac:dyDescent="0.25">
      <c r="A510" t="s">
        <v>22</v>
      </c>
      <c r="B510" s="16" t="s">
        <v>10</v>
      </c>
      <c r="C510" t="s">
        <v>12</v>
      </c>
      <c r="D510" t="str">
        <f t="shared" si="10"/>
        <v>PLUTO-Libra-Gemini</v>
      </c>
      <c r="E510" s="17" t="s">
        <v>109</v>
      </c>
      <c r="F510" s="18" t="s">
        <v>16</v>
      </c>
      <c r="G510" s="19" t="s">
        <v>10</v>
      </c>
      <c r="H510" s="20" t="s">
        <v>117</v>
      </c>
      <c r="I510" s="18" t="s">
        <v>18</v>
      </c>
      <c r="J510" t="s">
        <v>21</v>
      </c>
    </row>
    <row r="511" spans="1:10" x14ac:dyDescent="0.25">
      <c r="A511" t="s">
        <v>22</v>
      </c>
      <c r="B511" s="16" t="s">
        <v>10</v>
      </c>
      <c r="C511" t="s">
        <v>14</v>
      </c>
      <c r="D511" t="str">
        <f t="shared" si="10"/>
        <v>PLUTO-Libra-Cancer</v>
      </c>
      <c r="E511" s="17" t="s">
        <v>99</v>
      </c>
      <c r="F511" s="18" t="s">
        <v>14</v>
      </c>
      <c r="G511" s="19" t="s">
        <v>10</v>
      </c>
      <c r="H511" s="20" t="s">
        <v>118</v>
      </c>
      <c r="I511" s="18" t="s">
        <v>16</v>
      </c>
      <c r="J511" t="s">
        <v>21</v>
      </c>
    </row>
    <row r="512" spans="1:10" x14ac:dyDescent="0.25">
      <c r="A512" t="s">
        <v>22</v>
      </c>
      <c r="B512" s="16" t="s">
        <v>10</v>
      </c>
      <c r="C512" t="s">
        <v>16</v>
      </c>
      <c r="D512" t="str">
        <f t="shared" si="10"/>
        <v>PLUTO-Libra-Leo</v>
      </c>
      <c r="E512" s="17" t="s">
        <v>101</v>
      </c>
      <c r="F512" s="18" t="s">
        <v>12</v>
      </c>
      <c r="G512" s="19" t="s">
        <v>10</v>
      </c>
      <c r="H512" s="20" t="s">
        <v>119</v>
      </c>
      <c r="I512" s="18" t="s">
        <v>14</v>
      </c>
      <c r="J512" t="s">
        <v>21</v>
      </c>
    </row>
    <row r="513" spans="1:10" x14ac:dyDescent="0.25">
      <c r="A513" t="s">
        <v>22</v>
      </c>
      <c r="B513" s="16" t="s">
        <v>10</v>
      </c>
      <c r="C513" t="s">
        <v>18</v>
      </c>
      <c r="D513" t="str">
        <f t="shared" si="10"/>
        <v>PLUTO-Libra-Virgo</v>
      </c>
      <c r="E513" s="17" t="s">
        <v>103</v>
      </c>
      <c r="F513" s="18" t="s">
        <v>9</v>
      </c>
      <c r="G513" s="19" t="s">
        <v>10</v>
      </c>
      <c r="H513" s="20" t="s">
        <v>120</v>
      </c>
      <c r="I513" s="18" t="s">
        <v>12</v>
      </c>
      <c r="J513" t="s">
        <v>21</v>
      </c>
    </row>
    <row r="514" spans="1:10" x14ac:dyDescent="0.25">
      <c r="A514" t="s">
        <v>22</v>
      </c>
      <c r="B514" s="16" t="s">
        <v>10</v>
      </c>
      <c r="C514" t="s">
        <v>10</v>
      </c>
      <c r="D514" t="str">
        <f t="shared" si="10"/>
        <v>PLUTO-Libra-Libra</v>
      </c>
      <c r="E514" s="17" t="s">
        <v>98</v>
      </c>
      <c r="F514" s="18" t="s">
        <v>7</v>
      </c>
      <c r="G514" s="19" t="s">
        <v>10</v>
      </c>
      <c r="H514" s="20" t="s">
        <v>121</v>
      </c>
      <c r="I514" s="18" t="s">
        <v>9</v>
      </c>
      <c r="J514" t="s">
        <v>21</v>
      </c>
    </row>
    <row r="515" spans="1:10" x14ac:dyDescent="0.25">
      <c r="A515" t="s">
        <v>22</v>
      </c>
      <c r="B515" s="16" t="s">
        <v>10</v>
      </c>
      <c r="C515" t="s">
        <v>21</v>
      </c>
      <c r="D515" t="str">
        <f t="shared" si="10"/>
        <v>PLUTO-Libra-Scorpio</v>
      </c>
      <c r="E515" s="17" t="s">
        <v>100</v>
      </c>
      <c r="F515" s="18" t="s">
        <v>29</v>
      </c>
      <c r="G515" s="19" t="s">
        <v>10</v>
      </c>
      <c r="H515" s="20" t="s">
        <v>110</v>
      </c>
      <c r="I515" s="18" t="s">
        <v>7</v>
      </c>
      <c r="J515" t="s">
        <v>21</v>
      </c>
    </row>
    <row r="516" spans="1:10" x14ac:dyDescent="0.25">
      <c r="A516" t="s">
        <v>22</v>
      </c>
      <c r="B516" s="16" t="s">
        <v>10</v>
      </c>
      <c r="C516" t="s">
        <v>23</v>
      </c>
      <c r="D516" t="str">
        <f t="shared" si="10"/>
        <v>PLUTO-Libra-Sagittarius</v>
      </c>
      <c r="E516" s="17" t="s">
        <v>102</v>
      </c>
      <c r="F516" s="18" t="s">
        <v>27</v>
      </c>
      <c r="G516" s="19" t="s">
        <v>10</v>
      </c>
      <c r="H516" s="20" t="s">
        <v>111</v>
      </c>
      <c r="I516" s="18" t="s">
        <v>29</v>
      </c>
      <c r="J516" t="s">
        <v>21</v>
      </c>
    </row>
    <row r="517" spans="1:10" x14ac:dyDescent="0.25">
      <c r="A517" t="s">
        <v>22</v>
      </c>
      <c r="B517" s="16" t="s">
        <v>10</v>
      </c>
      <c r="C517" t="s">
        <v>25</v>
      </c>
      <c r="D517" t="str">
        <f t="shared" si="10"/>
        <v>PLUTO-Libra-Capricorn</v>
      </c>
      <c r="E517" s="17" t="s">
        <v>104</v>
      </c>
      <c r="F517" s="18" t="s">
        <v>25</v>
      </c>
      <c r="G517" s="19" t="s">
        <v>10</v>
      </c>
      <c r="H517" s="20" t="s">
        <v>112</v>
      </c>
      <c r="I517" s="18" t="s">
        <v>27</v>
      </c>
      <c r="J517" t="s">
        <v>21</v>
      </c>
    </row>
    <row r="518" spans="1:10" x14ac:dyDescent="0.25">
      <c r="A518" t="s">
        <v>22</v>
      </c>
      <c r="B518" s="16" t="s">
        <v>10</v>
      </c>
      <c r="C518" t="s">
        <v>27</v>
      </c>
      <c r="D518" t="str">
        <f t="shared" si="10"/>
        <v>PLUTO-Libra-Aquarius</v>
      </c>
      <c r="E518" s="17" t="s">
        <v>105</v>
      </c>
      <c r="F518" s="18" t="s">
        <v>23</v>
      </c>
      <c r="G518" s="19" t="s">
        <v>10</v>
      </c>
      <c r="H518" s="20" t="s">
        <v>113</v>
      </c>
      <c r="I518" s="18" t="s">
        <v>25</v>
      </c>
      <c r="J518" t="s">
        <v>21</v>
      </c>
    </row>
    <row r="519" spans="1:10" x14ac:dyDescent="0.25">
      <c r="A519" t="s">
        <v>22</v>
      </c>
      <c r="B519" s="16" t="s">
        <v>10</v>
      </c>
      <c r="C519" t="s">
        <v>29</v>
      </c>
      <c r="D519" t="str">
        <f t="shared" si="10"/>
        <v>PLUTO-Libra-Pisces</v>
      </c>
      <c r="E519" s="17" t="s">
        <v>106</v>
      </c>
      <c r="F519" s="18" t="s">
        <v>21</v>
      </c>
      <c r="G519" s="19" t="s">
        <v>10</v>
      </c>
      <c r="H519" s="20" t="s">
        <v>114</v>
      </c>
      <c r="I519" s="18" t="s">
        <v>23</v>
      </c>
      <c r="J519" t="s">
        <v>21</v>
      </c>
    </row>
    <row r="520" spans="1:10" x14ac:dyDescent="0.25">
      <c r="A520" t="s">
        <v>22</v>
      </c>
      <c r="B520" s="16" t="s">
        <v>21</v>
      </c>
      <c r="C520" t="s">
        <v>7</v>
      </c>
      <c r="D520" t="str">
        <f t="shared" si="10"/>
        <v>PLUTO-Scorpio-Aries</v>
      </c>
      <c r="E520" s="17" t="s">
        <v>106</v>
      </c>
      <c r="F520" s="18" t="s">
        <v>21</v>
      </c>
      <c r="G520" s="19" t="s">
        <v>21</v>
      </c>
      <c r="H520" s="20" t="s">
        <v>115</v>
      </c>
      <c r="I520" s="18" t="s">
        <v>21</v>
      </c>
      <c r="J520" t="s">
        <v>21</v>
      </c>
    </row>
    <row r="521" spans="1:10" x14ac:dyDescent="0.25">
      <c r="A521" t="s">
        <v>22</v>
      </c>
      <c r="B521" s="16" t="s">
        <v>21</v>
      </c>
      <c r="C521" t="s">
        <v>9</v>
      </c>
      <c r="D521" t="str">
        <f t="shared" si="10"/>
        <v>PLUTO-Scorpio-Taurus</v>
      </c>
      <c r="E521" s="17" t="s">
        <v>107</v>
      </c>
      <c r="F521" s="18" t="s">
        <v>10</v>
      </c>
      <c r="G521" s="19" t="s">
        <v>21</v>
      </c>
      <c r="H521" s="20" t="s">
        <v>116</v>
      </c>
      <c r="I521" s="18" t="s">
        <v>10</v>
      </c>
      <c r="J521" t="s">
        <v>21</v>
      </c>
    </row>
    <row r="522" spans="1:10" x14ac:dyDescent="0.25">
      <c r="A522" t="s">
        <v>22</v>
      </c>
      <c r="B522" s="16" t="s">
        <v>21</v>
      </c>
      <c r="C522" t="s">
        <v>12</v>
      </c>
      <c r="D522" t="str">
        <f t="shared" si="10"/>
        <v>PLUTO-Scorpio-Gemini</v>
      </c>
      <c r="E522" s="17" t="s">
        <v>108</v>
      </c>
      <c r="F522" s="18" t="s">
        <v>18</v>
      </c>
      <c r="G522" s="19" t="s">
        <v>21</v>
      </c>
      <c r="H522" s="20" t="s">
        <v>117</v>
      </c>
      <c r="I522" s="18" t="s">
        <v>18</v>
      </c>
      <c r="J522" t="s">
        <v>21</v>
      </c>
    </row>
    <row r="523" spans="1:10" x14ac:dyDescent="0.25">
      <c r="A523" t="s">
        <v>22</v>
      </c>
      <c r="B523" s="16" t="s">
        <v>21</v>
      </c>
      <c r="C523" t="s">
        <v>14</v>
      </c>
      <c r="D523" t="str">
        <f t="shared" si="10"/>
        <v>PLUTO-Scorpio-Cancer</v>
      </c>
      <c r="E523" s="17" t="s">
        <v>109</v>
      </c>
      <c r="F523" s="18" t="s">
        <v>16</v>
      </c>
      <c r="G523" s="19" t="s">
        <v>21</v>
      </c>
      <c r="H523" s="20" t="s">
        <v>118</v>
      </c>
      <c r="I523" s="18" t="s">
        <v>16</v>
      </c>
      <c r="J523" t="s">
        <v>21</v>
      </c>
    </row>
    <row r="524" spans="1:10" x14ac:dyDescent="0.25">
      <c r="A524" t="s">
        <v>22</v>
      </c>
      <c r="B524" s="16" t="s">
        <v>21</v>
      </c>
      <c r="C524" t="s">
        <v>16</v>
      </c>
      <c r="D524" t="str">
        <f t="shared" si="10"/>
        <v>PLUTO-Scorpio-Leo</v>
      </c>
      <c r="E524" s="17" t="s">
        <v>99</v>
      </c>
      <c r="F524" s="18" t="s">
        <v>14</v>
      </c>
      <c r="G524" s="19" t="s">
        <v>21</v>
      </c>
      <c r="H524" s="20" t="s">
        <v>119</v>
      </c>
      <c r="I524" s="18" t="s">
        <v>14</v>
      </c>
      <c r="J524" t="s">
        <v>21</v>
      </c>
    </row>
    <row r="525" spans="1:10" x14ac:dyDescent="0.25">
      <c r="A525" t="s">
        <v>22</v>
      </c>
      <c r="B525" s="16" t="s">
        <v>21</v>
      </c>
      <c r="C525" t="s">
        <v>18</v>
      </c>
      <c r="D525" t="str">
        <f t="shared" si="10"/>
        <v>PLUTO-Scorpio-Virgo</v>
      </c>
      <c r="E525" s="17" t="s">
        <v>101</v>
      </c>
      <c r="F525" s="18" t="s">
        <v>12</v>
      </c>
      <c r="G525" s="19" t="s">
        <v>21</v>
      </c>
      <c r="H525" s="20" t="s">
        <v>120</v>
      </c>
      <c r="I525" s="18" t="s">
        <v>12</v>
      </c>
      <c r="J525" t="s">
        <v>21</v>
      </c>
    </row>
    <row r="526" spans="1:10" x14ac:dyDescent="0.25">
      <c r="A526" t="s">
        <v>22</v>
      </c>
      <c r="B526" s="16" t="s">
        <v>21</v>
      </c>
      <c r="C526" t="s">
        <v>10</v>
      </c>
      <c r="D526" t="str">
        <f t="shared" si="10"/>
        <v>PLUTO-Scorpio-Libra</v>
      </c>
      <c r="E526" s="17" t="s">
        <v>103</v>
      </c>
      <c r="F526" s="18" t="s">
        <v>9</v>
      </c>
      <c r="G526" s="19" t="s">
        <v>21</v>
      </c>
      <c r="H526" s="20" t="s">
        <v>121</v>
      </c>
      <c r="I526" s="18" t="s">
        <v>9</v>
      </c>
      <c r="J526" t="s">
        <v>21</v>
      </c>
    </row>
    <row r="527" spans="1:10" x14ac:dyDescent="0.25">
      <c r="A527" t="s">
        <v>22</v>
      </c>
      <c r="B527" s="16" t="s">
        <v>21</v>
      </c>
      <c r="C527" t="s">
        <v>21</v>
      </c>
      <c r="D527" t="str">
        <f t="shared" si="10"/>
        <v>PLUTO-Scorpio-Scorpio</v>
      </c>
      <c r="E527" s="17" t="s">
        <v>98</v>
      </c>
      <c r="F527" s="18" t="s">
        <v>7</v>
      </c>
      <c r="G527" s="19" t="s">
        <v>21</v>
      </c>
      <c r="H527" s="20" t="s">
        <v>110</v>
      </c>
      <c r="I527" s="18" t="s">
        <v>7</v>
      </c>
      <c r="J527" t="s">
        <v>21</v>
      </c>
    </row>
    <row r="528" spans="1:10" x14ac:dyDescent="0.25">
      <c r="A528" t="s">
        <v>22</v>
      </c>
      <c r="B528" s="16" t="s">
        <v>21</v>
      </c>
      <c r="C528" t="s">
        <v>23</v>
      </c>
      <c r="D528" t="str">
        <f t="shared" si="10"/>
        <v>PLUTO-Scorpio-Sagittarius</v>
      </c>
      <c r="E528" s="17" t="s">
        <v>100</v>
      </c>
      <c r="F528" s="18" t="s">
        <v>29</v>
      </c>
      <c r="G528" s="19" t="s">
        <v>21</v>
      </c>
      <c r="H528" s="20" t="s">
        <v>111</v>
      </c>
      <c r="I528" s="18" t="s">
        <v>29</v>
      </c>
      <c r="J528" t="s">
        <v>21</v>
      </c>
    </row>
    <row r="529" spans="1:10" x14ac:dyDescent="0.25">
      <c r="A529" t="s">
        <v>22</v>
      </c>
      <c r="B529" s="16" t="s">
        <v>21</v>
      </c>
      <c r="C529" t="s">
        <v>25</v>
      </c>
      <c r="D529" t="str">
        <f t="shared" si="10"/>
        <v>PLUTO-Scorpio-Capricorn</v>
      </c>
      <c r="E529" s="17" t="s">
        <v>102</v>
      </c>
      <c r="F529" s="18" t="s">
        <v>27</v>
      </c>
      <c r="G529" s="19" t="s">
        <v>21</v>
      </c>
      <c r="H529" s="20" t="s">
        <v>112</v>
      </c>
      <c r="I529" s="18" t="s">
        <v>27</v>
      </c>
      <c r="J529" t="s">
        <v>21</v>
      </c>
    </row>
    <row r="530" spans="1:10" x14ac:dyDescent="0.25">
      <c r="A530" t="s">
        <v>22</v>
      </c>
      <c r="B530" s="16" t="s">
        <v>21</v>
      </c>
      <c r="C530" t="s">
        <v>27</v>
      </c>
      <c r="D530" t="str">
        <f t="shared" si="10"/>
        <v>PLUTO-Scorpio-Aquarius</v>
      </c>
      <c r="E530" s="17" t="s">
        <v>104</v>
      </c>
      <c r="F530" s="18" t="s">
        <v>25</v>
      </c>
      <c r="G530" s="19" t="s">
        <v>21</v>
      </c>
      <c r="H530" s="20" t="s">
        <v>113</v>
      </c>
      <c r="I530" s="18" t="s">
        <v>25</v>
      </c>
      <c r="J530" t="s">
        <v>21</v>
      </c>
    </row>
    <row r="531" spans="1:10" x14ac:dyDescent="0.25">
      <c r="A531" t="s">
        <v>22</v>
      </c>
      <c r="B531" s="16" t="s">
        <v>21</v>
      </c>
      <c r="C531" t="s">
        <v>29</v>
      </c>
      <c r="D531" t="str">
        <f t="shared" si="10"/>
        <v>PLUTO-Scorpio-Pisces</v>
      </c>
      <c r="E531" s="17" t="s">
        <v>105</v>
      </c>
      <c r="F531" s="18" t="s">
        <v>23</v>
      </c>
      <c r="G531" s="19" t="s">
        <v>21</v>
      </c>
      <c r="H531" s="20" t="s">
        <v>114</v>
      </c>
      <c r="I531" s="18" t="s">
        <v>23</v>
      </c>
      <c r="J531" t="s">
        <v>21</v>
      </c>
    </row>
    <row r="532" spans="1:10" x14ac:dyDescent="0.25">
      <c r="A532" t="s">
        <v>22</v>
      </c>
      <c r="B532" s="16" t="s">
        <v>23</v>
      </c>
      <c r="C532" t="s">
        <v>7</v>
      </c>
      <c r="D532" t="str">
        <f t="shared" si="10"/>
        <v>PLUTO-Sagittarius-Aries</v>
      </c>
      <c r="E532" s="17" t="s">
        <v>105</v>
      </c>
      <c r="F532" s="18" t="s">
        <v>23</v>
      </c>
      <c r="G532" s="19" t="s">
        <v>23</v>
      </c>
      <c r="H532" s="20" t="s">
        <v>115</v>
      </c>
      <c r="I532" s="18" t="s">
        <v>21</v>
      </c>
      <c r="J532" t="s">
        <v>21</v>
      </c>
    </row>
    <row r="533" spans="1:10" x14ac:dyDescent="0.25">
      <c r="A533" t="s">
        <v>22</v>
      </c>
      <c r="B533" s="16" t="s">
        <v>23</v>
      </c>
      <c r="C533" t="s">
        <v>9</v>
      </c>
      <c r="D533" t="str">
        <f t="shared" si="10"/>
        <v>PLUTO-Sagittarius-Taurus</v>
      </c>
      <c r="E533" s="17" t="s">
        <v>106</v>
      </c>
      <c r="F533" s="18" t="s">
        <v>21</v>
      </c>
      <c r="G533" s="19" t="s">
        <v>23</v>
      </c>
      <c r="H533" s="20" t="s">
        <v>116</v>
      </c>
      <c r="I533" s="18" t="s">
        <v>10</v>
      </c>
      <c r="J533" t="s">
        <v>21</v>
      </c>
    </row>
    <row r="534" spans="1:10" x14ac:dyDescent="0.25">
      <c r="A534" t="s">
        <v>22</v>
      </c>
      <c r="B534" s="16" t="s">
        <v>23</v>
      </c>
      <c r="C534" t="s">
        <v>12</v>
      </c>
      <c r="D534" t="str">
        <f t="shared" si="10"/>
        <v>PLUTO-Sagittarius-Gemini</v>
      </c>
      <c r="E534" s="17" t="s">
        <v>107</v>
      </c>
      <c r="F534" s="18" t="s">
        <v>10</v>
      </c>
      <c r="G534" s="19" t="s">
        <v>23</v>
      </c>
      <c r="H534" s="20" t="s">
        <v>117</v>
      </c>
      <c r="I534" s="18" t="s">
        <v>18</v>
      </c>
      <c r="J534" t="s">
        <v>21</v>
      </c>
    </row>
    <row r="535" spans="1:10" x14ac:dyDescent="0.25">
      <c r="A535" t="s">
        <v>22</v>
      </c>
      <c r="B535" s="16" t="s">
        <v>23</v>
      </c>
      <c r="C535" t="s">
        <v>14</v>
      </c>
      <c r="D535" t="str">
        <f t="shared" si="10"/>
        <v>PLUTO-Sagittarius-Cancer</v>
      </c>
      <c r="E535" s="17" t="s">
        <v>108</v>
      </c>
      <c r="F535" s="18" t="s">
        <v>18</v>
      </c>
      <c r="G535" s="19" t="s">
        <v>23</v>
      </c>
      <c r="H535" s="20" t="s">
        <v>118</v>
      </c>
      <c r="I535" s="18" t="s">
        <v>16</v>
      </c>
      <c r="J535" t="s">
        <v>21</v>
      </c>
    </row>
    <row r="536" spans="1:10" x14ac:dyDescent="0.25">
      <c r="A536" t="s">
        <v>22</v>
      </c>
      <c r="B536" s="16" t="s">
        <v>23</v>
      </c>
      <c r="C536" t="s">
        <v>16</v>
      </c>
      <c r="D536" t="str">
        <f t="shared" si="10"/>
        <v>PLUTO-Sagittarius-Leo</v>
      </c>
      <c r="E536" s="17" t="s">
        <v>109</v>
      </c>
      <c r="F536" s="18" t="s">
        <v>16</v>
      </c>
      <c r="G536" s="19" t="s">
        <v>23</v>
      </c>
      <c r="H536" s="20" t="s">
        <v>119</v>
      </c>
      <c r="I536" s="18" t="s">
        <v>14</v>
      </c>
      <c r="J536" t="s">
        <v>21</v>
      </c>
    </row>
    <row r="537" spans="1:10" x14ac:dyDescent="0.25">
      <c r="A537" t="s">
        <v>22</v>
      </c>
      <c r="B537" s="16" t="s">
        <v>23</v>
      </c>
      <c r="C537" t="s">
        <v>18</v>
      </c>
      <c r="D537" t="str">
        <f t="shared" si="10"/>
        <v>PLUTO-Sagittarius-Virgo</v>
      </c>
      <c r="E537" s="17" t="s">
        <v>99</v>
      </c>
      <c r="F537" s="18" t="s">
        <v>14</v>
      </c>
      <c r="G537" s="19" t="s">
        <v>23</v>
      </c>
      <c r="H537" s="20" t="s">
        <v>120</v>
      </c>
      <c r="I537" s="18" t="s">
        <v>12</v>
      </c>
      <c r="J537" t="s">
        <v>21</v>
      </c>
    </row>
    <row r="538" spans="1:10" x14ac:dyDescent="0.25">
      <c r="A538" t="s">
        <v>22</v>
      </c>
      <c r="B538" s="16" t="s">
        <v>23</v>
      </c>
      <c r="C538" t="s">
        <v>10</v>
      </c>
      <c r="D538" t="str">
        <f t="shared" si="10"/>
        <v>PLUTO-Sagittarius-Libra</v>
      </c>
      <c r="E538" s="17" t="s">
        <v>101</v>
      </c>
      <c r="F538" s="18" t="s">
        <v>12</v>
      </c>
      <c r="G538" s="19" t="s">
        <v>23</v>
      </c>
      <c r="H538" s="20" t="s">
        <v>121</v>
      </c>
      <c r="I538" s="18" t="s">
        <v>9</v>
      </c>
      <c r="J538" t="s">
        <v>21</v>
      </c>
    </row>
    <row r="539" spans="1:10" x14ac:dyDescent="0.25">
      <c r="A539" t="s">
        <v>22</v>
      </c>
      <c r="B539" s="16" t="s">
        <v>23</v>
      </c>
      <c r="C539" t="s">
        <v>21</v>
      </c>
      <c r="D539" t="str">
        <f t="shared" si="10"/>
        <v>PLUTO-Sagittarius-Scorpio</v>
      </c>
      <c r="E539" s="17" t="s">
        <v>103</v>
      </c>
      <c r="F539" s="18" t="s">
        <v>9</v>
      </c>
      <c r="G539" s="19" t="s">
        <v>23</v>
      </c>
      <c r="H539" s="20" t="s">
        <v>110</v>
      </c>
      <c r="I539" s="18" t="s">
        <v>7</v>
      </c>
      <c r="J539" t="s">
        <v>21</v>
      </c>
    </row>
    <row r="540" spans="1:10" x14ac:dyDescent="0.25">
      <c r="A540" t="s">
        <v>22</v>
      </c>
      <c r="B540" s="16" t="s">
        <v>23</v>
      </c>
      <c r="C540" t="s">
        <v>23</v>
      </c>
      <c r="D540" t="str">
        <f t="shared" si="10"/>
        <v>PLUTO-Sagittarius-Sagittarius</v>
      </c>
      <c r="E540" s="17" t="s">
        <v>98</v>
      </c>
      <c r="F540" s="18" t="s">
        <v>7</v>
      </c>
      <c r="G540" s="19" t="s">
        <v>23</v>
      </c>
      <c r="H540" s="20" t="s">
        <v>111</v>
      </c>
      <c r="I540" s="18" t="s">
        <v>29</v>
      </c>
      <c r="J540" t="s">
        <v>21</v>
      </c>
    </row>
    <row r="541" spans="1:10" x14ac:dyDescent="0.25">
      <c r="A541" t="s">
        <v>22</v>
      </c>
      <c r="B541" s="16" t="s">
        <v>23</v>
      </c>
      <c r="C541" t="s">
        <v>25</v>
      </c>
      <c r="D541" t="str">
        <f t="shared" si="10"/>
        <v>PLUTO-Sagittarius-Capricorn</v>
      </c>
      <c r="E541" s="17" t="s">
        <v>100</v>
      </c>
      <c r="F541" s="18" t="s">
        <v>29</v>
      </c>
      <c r="G541" s="19" t="s">
        <v>23</v>
      </c>
      <c r="H541" s="20" t="s">
        <v>112</v>
      </c>
      <c r="I541" s="18" t="s">
        <v>27</v>
      </c>
      <c r="J541" t="s">
        <v>21</v>
      </c>
    </row>
    <row r="542" spans="1:10" x14ac:dyDescent="0.25">
      <c r="A542" t="s">
        <v>22</v>
      </c>
      <c r="B542" s="16" t="s">
        <v>23</v>
      </c>
      <c r="C542" t="s">
        <v>27</v>
      </c>
      <c r="D542" t="str">
        <f t="shared" si="10"/>
        <v>PLUTO-Sagittarius-Aquarius</v>
      </c>
      <c r="E542" s="17" t="s">
        <v>102</v>
      </c>
      <c r="F542" s="18" t="s">
        <v>27</v>
      </c>
      <c r="G542" s="19" t="s">
        <v>23</v>
      </c>
      <c r="H542" s="20" t="s">
        <v>113</v>
      </c>
      <c r="I542" s="18" t="s">
        <v>25</v>
      </c>
      <c r="J542" t="s">
        <v>21</v>
      </c>
    </row>
    <row r="543" spans="1:10" x14ac:dyDescent="0.25">
      <c r="A543" t="s">
        <v>22</v>
      </c>
      <c r="B543" s="16" t="s">
        <v>23</v>
      </c>
      <c r="C543" t="s">
        <v>29</v>
      </c>
      <c r="D543" t="str">
        <f t="shared" si="10"/>
        <v>PLUTO-Sagittarius-Pisces</v>
      </c>
      <c r="E543" s="17" t="s">
        <v>104</v>
      </c>
      <c r="F543" s="18" t="s">
        <v>25</v>
      </c>
      <c r="G543" s="19" t="s">
        <v>23</v>
      </c>
      <c r="H543" s="20" t="s">
        <v>114</v>
      </c>
      <c r="I543" s="18" t="s">
        <v>23</v>
      </c>
      <c r="J543" t="s">
        <v>21</v>
      </c>
    </row>
    <row r="544" spans="1:10" x14ac:dyDescent="0.25">
      <c r="A544" t="s">
        <v>22</v>
      </c>
      <c r="B544" s="16" t="s">
        <v>25</v>
      </c>
      <c r="C544" t="s">
        <v>7</v>
      </c>
      <c r="D544" t="str">
        <f t="shared" si="10"/>
        <v>PLUTO-Capricorn-Aries</v>
      </c>
      <c r="E544" s="17" t="s">
        <v>104</v>
      </c>
      <c r="F544" s="18" t="s">
        <v>25</v>
      </c>
      <c r="G544" s="19" t="s">
        <v>25</v>
      </c>
      <c r="H544" s="20" t="s">
        <v>115</v>
      </c>
      <c r="I544" s="18" t="s">
        <v>21</v>
      </c>
      <c r="J544" t="s">
        <v>21</v>
      </c>
    </row>
    <row r="545" spans="1:10" x14ac:dyDescent="0.25">
      <c r="A545" t="s">
        <v>22</v>
      </c>
      <c r="B545" s="16" t="s">
        <v>25</v>
      </c>
      <c r="C545" t="s">
        <v>9</v>
      </c>
      <c r="D545" t="str">
        <f t="shared" si="10"/>
        <v>PLUTO-Capricorn-Taurus</v>
      </c>
      <c r="E545" s="17" t="s">
        <v>105</v>
      </c>
      <c r="F545" s="18" t="s">
        <v>23</v>
      </c>
      <c r="G545" s="19" t="s">
        <v>25</v>
      </c>
      <c r="H545" s="20" t="s">
        <v>116</v>
      </c>
      <c r="I545" s="18" t="s">
        <v>10</v>
      </c>
      <c r="J545" t="s">
        <v>21</v>
      </c>
    </row>
    <row r="546" spans="1:10" x14ac:dyDescent="0.25">
      <c r="A546" t="s">
        <v>22</v>
      </c>
      <c r="B546" s="16" t="s">
        <v>25</v>
      </c>
      <c r="C546" t="s">
        <v>12</v>
      </c>
      <c r="D546" t="str">
        <f t="shared" si="10"/>
        <v>PLUTO-Capricorn-Gemini</v>
      </c>
      <c r="E546" s="17" t="s">
        <v>106</v>
      </c>
      <c r="F546" s="18" t="s">
        <v>21</v>
      </c>
      <c r="G546" s="19" t="s">
        <v>25</v>
      </c>
      <c r="H546" s="20" t="s">
        <v>117</v>
      </c>
      <c r="I546" s="18" t="s">
        <v>18</v>
      </c>
      <c r="J546" t="s">
        <v>21</v>
      </c>
    </row>
    <row r="547" spans="1:10" x14ac:dyDescent="0.25">
      <c r="A547" t="s">
        <v>22</v>
      </c>
      <c r="B547" s="16" t="s">
        <v>25</v>
      </c>
      <c r="C547" t="s">
        <v>14</v>
      </c>
      <c r="D547" t="str">
        <f t="shared" si="10"/>
        <v>PLUTO-Capricorn-Cancer</v>
      </c>
      <c r="E547" s="17" t="s">
        <v>107</v>
      </c>
      <c r="F547" s="18" t="s">
        <v>10</v>
      </c>
      <c r="G547" s="19" t="s">
        <v>25</v>
      </c>
      <c r="H547" s="20" t="s">
        <v>118</v>
      </c>
      <c r="I547" s="18" t="s">
        <v>16</v>
      </c>
      <c r="J547" t="s">
        <v>21</v>
      </c>
    </row>
    <row r="548" spans="1:10" x14ac:dyDescent="0.25">
      <c r="A548" t="s">
        <v>22</v>
      </c>
      <c r="B548" s="16" t="s">
        <v>25</v>
      </c>
      <c r="C548" t="s">
        <v>16</v>
      </c>
      <c r="D548" t="str">
        <f t="shared" si="10"/>
        <v>PLUTO-Capricorn-Leo</v>
      </c>
      <c r="E548" s="17" t="s">
        <v>108</v>
      </c>
      <c r="F548" s="18" t="s">
        <v>18</v>
      </c>
      <c r="G548" s="19" t="s">
        <v>25</v>
      </c>
      <c r="H548" s="20" t="s">
        <v>119</v>
      </c>
      <c r="I548" s="18" t="s">
        <v>14</v>
      </c>
      <c r="J548" t="s">
        <v>21</v>
      </c>
    </row>
    <row r="549" spans="1:10" x14ac:dyDescent="0.25">
      <c r="A549" t="s">
        <v>22</v>
      </c>
      <c r="B549" s="16" t="s">
        <v>25</v>
      </c>
      <c r="C549" t="s">
        <v>18</v>
      </c>
      <c r="D549" t="str">
        <f t="shared" si="10"/>
        <v>PLUTO-Capricorn-Virgo</v>
      </c>
      <c r="E549" s="17" t="s">
        <v>109</v>
      </c>
      <c r="F549" s="18" t="s">
        <v>16</v>
      </c>
      <c r="G549" s="19" t="s">
        <v>25</v>
      </c>
      <c r="H549" s="20" t="s">
        <v>120</v>
      </c>
      <c r="I549" s="18" t="s">
        <v>12</v>
      </c>
      <c r="J549" t="s">
        <v>21</v>
      </c>
    </row>
    <row r="550" spans="1:10" x14ac:dyDescent="0.25">
      <c r="A550" t="s">
        <v>22</v>
      </c>
      <c r="B550" s="16" t="s">
        <v>25</v>
      </c>
      <c r="C550" t="s">
        <v>10</v>
      </c>
      <c r="D550" t="str">
        <f t="shared" si="10"/>
        <v>PLUTO-Capricorn-Libra</v>
      </c>
      <c r="E550" s="17" t="s">
        <v>99</v>
      </c>
      <c r="F550" s="18" t="s">
        <v>14</v>
      </c>
      <c r="G550" s="19" t="s">
        <v>25</v>
      </c>
      <c r="H550" s="20" t="s">
        <v>121</v>
      </c>
      <c r="I550" s="18" t="s">
        <v>9</v>
      </c>
      <c r="J550" t="s">
        <v>21</v>
      </c>
    </row>
    <row r="551" spans="1:10" x14ac:dyDescent="0.25">
      <c r="A551" t="s">
        <v>22</v>
      </c>
      <c r="B551" s="16" t="s">
        <v>25</v>
      </c>
      <c r="C551" t="s">
        <v>21</v>
      </c>
      <c r="D551" t="str">
        <f t="shared" si="10"/>
        <v>PLUTO-Capricorn-Scorpio</v>
      </c>
      <c r="E551" s="17" t="s">
        <v>101</v>
      </c>
      <c r="F551" s="18" t="s">
        <v>12</v>
      </c>
      <c r="G551" s="19" t="s">
        <v>25</v>
      </c>
      <c r="H551" s="20" t="s">
        <v>110</v>
      </c>
      <c r="I551" s="18" t="s">
        <v>7</v>
      </c>
      <c r="J551" t="s">
        <v>21</v>
      </c>
    </row>
    <row r="552" spans="1:10" x14ac:dyDescent="0.25">
      <c r="A552" t="s">
        <v>22</v>
      </c>
      <c r="B552" s="16" t="s">
        <v>25</v>
      </c>
      <c r="C552" t="s">
        <v>23</v>
      </c>
      <c r="D552" t="str">
        <f t="shared" si="10"/>
        <v>PLUTO-Capricorn-Sagittarius</v>
      </c>
      <c r="E552" s="17" t="s">
        <v>103</v>
      </c>
      <c r="F552" s="18" t="s">
        <v>9</v>
      </c>
      <c r="G552" s="19" t="s">
        <v>25</v>
      </c>
      <c r="H552" s="20" t="s">
        <v>111</v>
      </c>
      <c r="I552" s="18" t="s">
        <v>29</v>
      </c>
      <c r="J552" t="s">
        <v>21</v>
      </c>
    </row>
    <row r="553" spans="1:10" x14ac:dyDescent="0.25">
      <c r="A553" t="s">
        <v>22</v>
      </c>
      <c r="B553" s="16" t="s">
        <v>25</v>
      </c>
      <c r="C553" t="s">
        <v>25</v>
      </c>
      <c r="D553" t="str">
        <f t="shared" si="10"/>
        <v>PLUTO-Capricorn-Capricorn</v>
      </c>
      <c r="E553" s="17" t="s">
        <v>98</v>
      </c>
      <c r="F553" s="18" t="s">
        <v>7</v>
      </c>
      <c r="G553" s="19" t="s">
        <v>25</v>
      </c>
      <c r="H553" s="20" t="s">
        <v>112</v>
      </c>
      <c r="I553" s="18" t="s">
        <v>27</v>
      </c>
      <c r="J553" t="s">
        <v>21</v>
      </c>
    </row>
    <row r="554" spans="1:10" x14ac:dyDescent="0.25">
      <c r="A554" t="s">
        <v>22</v>
      </c>
      <c r="B554" s="16" t="s">
        <v>25</v>
      </c>
      <c r="C554" t="s">
        <v>27</v>
      </c>
      <c r="D554" t="str">
        <f t="shared" si="10"/>
        <v>PLUTO-Capricorn-Aquarius</v>
      </c>
      <c r="E554" s="17" t="s">
        <v>100</v>
      </c>
      <c r="F554" s="18" t="s">
        <v>29</v>
      </c>
      <c r="G554" s="19" t="s">
        <v>25</v>
      </c>
      <c r="H554" s="20" t="s">
        <v>113</v>
      </c>
      <c r="I554" s="18" t="s">
        <v>25</v>
      </c>
      <c r="J554" t="s">
        <v>21</v>
      </c>
    </row>
    <row r="555" spans="1:10" x14ac:dyDescent="0.25">
      <c r="A555" t="s">
        <v>22</v>
      </c>
      <c r="B555" s="16" t="s">
        <v>25</v>
      </c>
      <c r="C555" t="s">
        <v>29</v>
      </c>
      <c r="D555" t="str">
        <f t="shared" si="10"/>
        <v>PLUTO-Capricorn-Pisces</v>
      </c>
      <c r="E555" s="17" t="s">
        <v>102</v>
      </c>
      <c r="F555" s="18" t="s">
        <v>27</v>
      </c>
      <c r="G555" s="19" t="s">
        <v>25</v>
      </c>
      <c r="H555" s="20" t="s">
        <v>114</v>
      </c>
      <c r="I555" s="18" t="s">
        <v>23</v>
      </c>
      <c r="J555" t="s">
        <v>21</v>
      </c>
    </row>
    <row r="556" spans="1:10" x14ac:dyDescent="0.25">
      <c r="A556" t="s">
        <v>22</v>
      </c>
      <c r="B556" s="16" t="s">
        <v>27</v>
      </c>
      <c r="C556" t="s">
        <v>7</v>
      </c>
      <c r="D556" t="str">
        <f t="shared" si="10"/>
        <v>PLUTO-Aquarius-Aries</v>
      </c>
      <c r="E556" s="17" t="s">
        <v>102</v>
      </c>
      <c r="F556" s="18" t="s">
        <v>27</v>
      </c>
      <c r="G556" s="19" t="s">
        <v>27</v>
      </c>
      <c r="H556" s="20" t="s">
        <v>115</v>
      </c>
      <c r="I556" s="18" t="s">
        <v>21</v>
      </c>
      <c r="J556" t="s">
        <v>21</v>
      </c>
    </row>
    <row r="557" spans="1:10" x14ac:dyDescent="0.25">
      <c r="A557" t="s">
        <v>22</v>
      </c>
      <c r="B557" s="16" t="s">
        <v>27</v>
      </c>
      <c r="C557" t="s">
        <v>9</v>
      </c>
      <c r="D557" t="str">
        <f t="shared" si="10"/>
        <v>PLUTO-Aquarius-Taurus</v>
      </c>
      <c r="E557" s="17" t="s">
        <v>104</v>
      </c>
      <c r="F557" s="18" t="s">
        <v>25</v>
      </c>
      <c r="G557" s="19" t="s">
        <v>27</v>
      </c>
      <c r="H557" s="20" t="s">
        <v>116</v>
      </c>
      <c r="I557" s="18" t="s">
        <v>10</v>
      </c>
      <c r="J557" t="s">
        <v>21</v>
      </c>
    </row>
    <row r="558" spans="1:10" x14ac:dyDescent="0.25">
      <c r="A558" t="s">
        <v>22</v>
      </c>
      <c r="B558" s="16" t="s">
        <v>27</v>
      </c>
      <c r="C558" t="s">
        <v>12</v>
      </c>
      <c r="D558" t="str">
        <f t="shared" si="10"/>
        <v>PLUTO-Aquarius-Gemini</v>
      </c>
      <c r="E558" s="17" t="s">
        <v>105</v>
      </c>
      <c r="F558" s="18" t="s">
        <v>23</v>
      </c>
      <c r="G558" s="19" t="s">
        <v>27</v>
      </c>
      <c r="H558" s="20" t="s">
        <v>117</v>
      </c>
      <c r="I558" s="18" t="s">
        <v>18</v>
      </c>
      <c r="J558" t="s">
        <v>21</v>
      </c>
    </row>
    <row r="559" spans="1:10" x14ac:dyDescent="0.25">
      <c r="A559" t="s">
        <v>22</v>
      </c>
      <c r="B559" s="16" t="s">
        <v>27</v>
      </c>
      <c r="C559" t="s">
        <v>14</v>
      </c>
      <c r="D559" t="str">
        <f t="shared" si="10"/>
        <v>PLUTO-Aquarius-Cancer</v>
      </c>
      <c r="E559" s="17" t="s">
        <v>106</v>
      </c>
      <c r="F559" s="18" t="s">
        <v>21</v>
      </c>
      <c r="G559" s="19" t="s">
        <v>27</v>
      </c>
      <c r="H559" s="20" t="s">
        <v>118</v>
      </c>
      <c r="I559" s="18" t="s">
        <v>16</v>
      </c>
      <c r="J559" t="s">
        <v>21</v>
      </c>
    </row>
    <row r="560" spans="1:10" x14ac:dyDescent="0.25">
      <c r="A560" t="s">
        <v>22</v>
      </c>
      <c r="B560" s="16" t="s">
        <v>27</v>
      </c>
      <c r="C560" t="s">
        <v>16</v>
      </c>
      <c r="D560" t="str">
        <f t="shared" si="10"/>
        <v>PLUTO-Aquarius-Leo</v>
      </c>
      <c r="E560" s="17" t="s">
        <v>107</v>
      </c>
      <c r="F560" s="18" t="s">
        <v>10</v>
      </c>
      <c r="G560" s="19" t="s">
        <v>27</v>
      </c>
      <c r="H560" s="20" t="s">
        <v>119</v>
      </c>
      <c r="I560" s="18" t="s">
        <v>14</v>
      </c>
      <c r="J560" t="s">
        <v>21</v>
      </c>
    </row>
    <row r="561" spans="1:10" x14ac:dyDescent="0.25">
      <c r="A561" t="s">
        <v>22</v>
      </c>
      <c r="B561" s="16" t="s">
        <v>27</v>
      </c>
      <c r="C561" t="s">
        <v>18</v>
      </c>
      <c r="D561" t="str">
        <f t="shared" si="10"/>
        <v>PLUTO-Aquarius-Virgo</v>
      </c>
      <c r="E561" s="17" t="s">
        <v>108</v>
      </c>
      <c r="F561" s="18" t="s">
        <v>18</v>
      </c>
      <c r="G561" s="19" t="s">
        <v>27</v>
      </c>
      <c r="H561" s="20" t="s">
        <v>120</v>
      </c>
      <c r="I561" s="18" t="s">
        <v>12</v>
      </c>
      <c r="J561" t="s">
        <v>21</v>
      </c>
    </row>
    <row r="562" spans="1:10" x14ac:dyDescent="0.25">
      <c r="A562" t="s">
        <v>22</v>
      </c>
      <c r="B562" s="16" t="s">
        <v>27</v>
      </c>
      <c r="C562" t="s">
        <v>10</v>
      </c>
      <c r="D562" t="str">
        <f t="shared" si="10"/>
        <v>PLUTO-Aquarius-Libra</v>
      </c>
      <c r="E562" s="17" t="s">
        <v>109</v>
      </c>
      <c r="F562" s="18" t="s">
        <v>16</v>
      </c>
      <c r="G562" s="19" t="s">
        <v>27</v>
      </c>
      <c r="H562" s="20" t="s">
        <v>121</v>
      </c>
      <c r="I562" s="18" t="s">
        <v>9</v>
      </c>
      <c r="J562" t="s">
        <v>21</v>
      </c>
    </row>
    <row r="563" spans="1:10" x14ac:dyDescent="0.25">
      <c r="A563" t="s">
        <v>22</v>
      </c>
      <c r="B563" s="16" t="s">
        <v>27</v>
      </c>
      <c r="C563" t="s">
        <v>21</v>
      </c>
      <c r="D563" t="str">
        <f t="shared" si="10"/>
        <v>PLUTO-Aquarius-Scorpio</v>
      </c>
      <c r="E563" s="17" t="s">
        <v>99</v>
      </c>
      <c r="F563" s="18" t="s">
        <v>14</v>
      </c>
      <c r="G563" s="19" t="s">
        <v>27</v>
      </c>
      <c r="H563" s="20" t="s">
        <v>110</v>
      </c>
      <c r="I563" s="18" t="s">
        <v>7</v>
      </c>
      <c r="J563" t="s">
        <v>21</v>
      </c>
    </row>
    <row r="564" spans="1:10" x14ac:dyDescent="0.25">
      <c r="A564" t="s">
        <v>22</v>
      </c>
      <c r="B564" s="16" t="s">
        <v>27</v>
      </c>
      <c r="C564" t="s">
        <v>23</v>
      </c>
      <c r="D564" t="str">
        <f t="shared" si="10"/>
        <v>PLUTO-Aquarius-Sagittarius</v>
      </c>
      <c r="E564" s="17" t="s">
        <v>101</v>
      </c>
      <c r="F564" s="18" t="s">
        <v>12</v>
      </c>
      <c r="G564" s="19" t="s">
        <v>27</v>
      </c>
      <c r="H564" s="20" t="s">
        <v>111</v>
      </c>
      <c r="I564" s="18" t="s">
        <v>29</v>
      </c>
      <c r="J564" t="s">
        <v>21</v>
      </c>
    </row>
    <row r="565" spans="1:10" x14ac:dyDescent="0.25">
      <c r="A565" t="s">
        <v>22</v>
      </c>
      <c r="B565" s="16" t="s">
        <v>27</v>
      </c>
      <c r="C565" t="s">
        <v>25</v>
      </c>
      <c r="D565" t="str">
        <f t="shared" ref="D565:D579" si="11">A565&amp;"-"&amp;B565&amp;"-"&amp;C565</f>
        <v>PLUTO-Aquarius-Capricorn</v>
      </c>
      <c r="E565" s="17" t="s">
        <v>103</v>
      </c>
      <c r="F565" s="18" t="s">
        <v>9</v>
      </c>
      <c r="G565" s="19" t="s">
        <v>27</v>
      </c>
      <c r="H565" s="20" t="s">
        <v>112</v>
      </c>
      <c r="I565" s="18" t="s">
        <v>27</v>
      </c>
      <c r="J565" t="s">
        <v>21</v>
      </c>
    </row>
    <row r="566" spans="1:10" x14ac:dyDescent="0.25">
      <c r="A566" t="s">
        <v>22</v>
      </c>
      <c r="B566" s="16" t="s">
        <v>27</v>
      </c>
      <c r="C566" t="s">
        <v>27</v>
      </c>
      <c r="D566" t="str">
        <f t="shared" si="11"/>
        <v>PLUTO-Aquarius-Aquarius</v>
      </c>
      <c r="E566" s="17" t="s">
        <v>98</v>
      </c>
      <c r="F566" s="18" t="s">
        <v>7</v>
      </c>
      <c r="G566" s="19" t="s">
        <v>27</v>
      </c>
      <c r="H566" s="20" t="s">
        <v>113</v>
      </c>
      <c r="I566" s="18" t="s">
        <v>25</v>
      </c>
      <c r="J566" t="s">
        <v>21</v>
      </c>
    </row>
    <row r="567" spans="1:10" x14ac:dyDescent="0.25">
      <c r="A567" t="s">
        <v>22</v>
      </c>
      <c r="B567" s="16" t="s">
        <v>27</v>
      </c>
      <c r="C567" t="s">
        <v>29</v>
      </c>
      <c r="D567" t="str">
        <f t="shared" si="11"/>
        <v>PLUTO-Aquarius-Pisces</v>
      </c>
      <c r="E567" s="17" t="s">
        <v>100</v>
      </c>
      <c r="F567" s="18" t="s">
        <v>29</v>
      </c>
      <c r="G567" s="19" t="s">
        <v>27</v>
      </c>
      <c r="H567" s="20" t="s">
        <v>114</v>
      </c>
      <c r="I567" s="18" t="s">
        <v>23</v>
      </c>
      <c r="J567" t="s">
        <v>21</v>
      </c>
    </row>
    <row r="568" spans="1:10" x14ac:dyDescent="0.25">
      <c r="A568" t="s">
        <v>22</v>
      </c>
      <c r="B568" s="16" t="s">
        <v>29</v>
      </c>
      <c r="C568" t="s">
        <v>7</v>
      </c>
      <c r="D568" t="str">
        <f t="shared" si="11"/>
        <v>PLUTO-Pisces-Aries</v>
      </c>
      <c r="E568" s="17" t="s">
        <v>100</v>
      </c>
      <c r="F568" s="18" t="s">
        <v>29</v>
      </c>
      <c r="G568" s="19" t="s">
        <v>29</v>
      </c>
      <c r="H568" s="20" t="s">
        <v>115</v>
      </c>
      <c r="I568" s="18" t="s">
        <v>21</v>
      </c>
      <c r="J568" t="s">
        <v>21</v>
      </c>
    </row>
    <row r="569" spans="1:10" x14ac:dyDescent="0.25">
      <c r="A569" t="s">
        <v>22</v>
      </c>
      <c r="B569" s="16" t="s">
        <v>29</v>
      </c>
      <c r="C569" t="s">
        <v>9</v>
      </c>
      <c r="D569" t="str">
        <f t="shared" si="11"/>
        <v>PLUTO-Pisces-Taurus</v>
      </c>
      <c r="E569" s="17" t="s">
        <v>102</v>
      </c>
      <c r="F569" s="18" t="s">
        <v>27</v>
      </c>
      <c r="G569" s="19" t="s">
        <v>29</v>
      </c>
      <c r="H569" s="20" t="s">
        <v>116</v>
      </c>
      <c r="I569" s="18" t="s">
        <v>10</v>
      </c>
      <c r="J569" t="s">
        <v>21</v>
      </c>
    </row>
    <row r="570" spans="1:10" x14ac:dyDescent="0.25">
      <c r="A570" t="s">
        <v>22</v>
      </c>
      <c r="B570" s="16" t="s">
        <v>29</v>
      </c>
      <c r="C570" t="s">
        <v>12</v>
      </c>
      <c r="D570" t="str">
        <f t="shared" si="11"/>
        <v>PLUTO-Pisces-Gemini</v>
      </c>
      <c r="E570" s="17" t="s">
        <v>104</v>
      </c>
      <c r="F570" s="18" t="s">
        <v>25</v>
      </c>
      <c r="G570" s="19" t="s">
        <v>29</v>
      </c>
      <c r="H570" s="20" t="s">
        <v>117</v>
      </c>
      <c r="I570" s="18" t="s">
        <v>18</v>
      </c>
      <c r="J570" t="s">
        <v>21</v>
      </c>
    </row>
    <row r="571" spans="1:10" x14ac:dyDescent="0.25">
      <c r="A571" t="s">
        <v>22</v>
      </c>
      <c r="B571" s="16" t="s">
        <v>29</v>
      </c>
      <c r="C571" t="s">
        <v>14</v>
      </c>
      <c r="D571" t="str">
        <f t="shared" si="11"/>
        <v>PLUTO-Pisces-Cancer</v>
      </c>
      <c r="E571" s="17" t="s">
        <v>105</v>
      </c>
      <c r="F571" s="18" t="s">
        <v>23</v>
      </c>
      <c r="G571" s="19" t="s">
        <v>29</v>
      </c>
      <c r="H571" s="20" t="s">
        <v>118</v>
      </c>
      <c r="I571" s="18" t="s">
        <v>16</v>
      </c>
      <c r="J571" t="s">
        <v>21</v>
      </c>
    </row>
    <row r="572" spans="1:10" x14ac:dyDescent="0.25">
      <c r="A572" t="s">
        <v>22</v>
      </c>
      <c r="B572" s="16" t="s">
        <v>29</v>
      </c>
      <c r="C572" t="s">
        <v>16</v>
      </c>
      <c r="D572" t="str">
        <f t="shared" si="11"/>
        <v>PLUTO-Pisces-Leo</v>
      </c>
      <c r="E572" s="17" t="s">
        <v>106</v>
      </c>
      <c r="F572" s="18" t="s">
        <v>21</v>
      </c>
      <c r="G572" s="19" t="s">
        <v>29</v>
      </c>
      <c r="H572" s="20" t="s">
        <v>119</v>
      </c>
      <c r="I572" s="18" t="s">
        <v>14</v>
      </c>
      <c r="J572" t="s">
        <v>21</v>
      </c>
    </row>
    <row r="573" spans="1:10" x14ac:dyDescent="0.25">
      <c r="A573" t="s">
        <v>22</v>
      </c>
      <c r="B573" s="16" t="s">
        <v>29</v>
      </c>
      <c r="C573" t="s">
        <v>18</v>
      </c>
      <c r="D573" t="str">
        <f t="shared" si="11"/>
        <v>PLUTO-Pisces-Virgo</v>
      </c>
      <c r="E573" s="17" t="s">
        <v>107</v>
      </c>
      <c r="F573" s="18" t="s">
        <v>10</v>
      </c>
      <c r="G573" s="19" t="s">
        <v>29</v>
      </c>
      <c r="H573" s="20" t="s">
        <v>120</v>
      </c>
      <c r="I573" s="18" t="s">
        <v>12</v>
      </c>
      <c r="J573" t="s">
        <v>21</v>
      </c>
    </row>
    <row r="574" spans="1:10" x14ac:dyDescent="0.25">
      <c r="A574" t="s">
        <v>22</v>
      </c>
      <c r="B574" s="16" t="s">
        <v>29</v>
      </c>
      <c r="C574" t="s">
        <v>10</v>
      </c>
      <c r="D574" t="str">
        <f t="shared" si="11"/>
        <v>PLUTO-Pisces-Libra</v>
      </c>
      <c r="E574" s="17" t="s">
        <v>108</v>
      </c>
      <c r="F574" s="18" t="s">
        <v>18</v>
      </c>
      <c r="G574" s="19" t="s">
        <v>29</v>
      </c>
      <c r="H574" s="20" t="s">
        <v>121</v>
      </c>
      <c r="I574" s="18" t="s">
        <v>9</v>
      </c>
      <c r="J574" t="s">
        <v>21</v>
      </c>
    </row>
    <row r="575" spans="1:10" x14ac:dyDescent="0.25">
      <c r="A575" t="s">
        <v>22</v>
      </c>
      <c r="B575" s="16" t="s">
        <v>29</v>
      </c>
      <c r="C575" t="s">
        <v>21</v>
      </c>
      <c r="D575" t="str">
        <f t="shared" si="11"/>
        <v>PLUTO-Pisces-Scorpio</v>
      </c>
      <c r="E575" s="17" t="s">
        <v>109</v>
      </c>
      <c r="F575" s="18" t="s">
        <v>16</v>
      </c>
      <c r="G575" s="19" t="s">
        <v>29</v>
      </c>
      <c r="H575" s="20" t="s">
        <v>110</v>
      </c>
      <c r="I575" s="18" t="s">
        <v>7</v>
      </c>
      <c r="J575" t="s">
        <v>21</v>
      </c>
    </row>
    <row r="576" spans="1:10" x14ac:dyDescent="0.25">
      <c r="A576" t="s">
        <v>22</v>
      </c>
      <c r="B576" s="16" t="s">
        <v>29</v>
      </c>
      <c r="C576" t="s">
        <v>23</v>
      </c>
      <c r="D576" t="str">
        <f t="shared" si="11"/>
        <v>PLUTO-Pisces-Sagittarius</v>
      </c>
      <c r="E576" s="17" t="s">
        <v>99</v>
      </c>
      <c r="F576" s="18" t="s">
        <v>14</v>
      </c>
      <c r="G576" s="19" t="s">
        <v>29</v>
      </c>
      <c r="H576" s="20" t="s">
        <v>111</v>
      </c>
      <c r="I576" s="18" t="s">
        <v>29</v>
      </c>
      <c r="J576" t="s">
        <v>21</v>
      </c>
    </row>
    <row r="577" spans="1:10" x14ac:dyDescent="0.25">
      <c r="A577" t="s">
        <v>22</v>
      </c>
      <c r="B577" s="16" t="s">
        <v>29</v>
      </c>
      <c r="C577" t="s">
        <v>25</v>
      </c>
      <c r="D577" t="str">
        <f t="shared" si="11"/>
        <v>PLUTO-Pisces-Capricorn</v>
      </c>
      <c r="E577" s="17" t="s">
        <v>101</v>
      </c>
      <c r="F577" s="18" t="s">
        <v>12</v>
      </c>
      <c r="G577" s="19" t="s">
        <v>29</v>
      </c>
      <c r="H577" s="20" t="s">
        <v>112</v>
      </c>
      <c r="I577" s="18" t="s">
        <v>27</v>
      </c>
      <c r="J577" t="s">
        <v>21</v>
      </c>
    </row>
    <row r="578" spans="1:10" x14ac:dyDescent="0.25">
      <c r="A578" t="s">
        <v>22</v>
      </c>
      <c r="B578" s="16" t="s">
        <v>29</v>
      </c>
      <c r="C578" t="s">
        <v>27</v>
      </c>
      <c r="D578" t="str">
        <f t="shared" si="11"/>
        <v>PLUTO-Pisces-Aquarius</v>
      </c>
      <c r="E578" s="17" t="s">
        <v>103</v>
      </c>
      <c r="F578" s="18" t="s">
        <v>9</v>
      </c>
      <c r="G578" s="19" t="s">
        <v>29</v>
      </c>
      <c r="H578" s="20" t="s">
        <v>113</v>
      </c>
      <c r="I578" s="18" t="s">
        <v>25</v>
      </c>
      <c r="J578" t="s">
        <v>21</v>
      </c>
    </row>
    <row r="579" spans="1:10" x14ac:dyDescent="0.25">
      <c r="A579" t="s">
        <v>22</v>
      </c>
      <c r="B579" s="16" t="s">
        <v>29</v>
      </c>
      <c r="C579" t="s">
        <v>29</v>
      </c>
      <c r="D579" t="str">
        <f t="shared" si="11"/>
        <v>PLUTO-Pisces-Pisces</v>
      </c>
      <c r="E579" s="17" t="s">
        <v>98</v>
      </c>
      <c r="F579" s="18" t="s">
        <v>7</v>
      </c>
      <c r="G579" s="19" t="s">
        <v>29</v>
      </c>
      <c r="H579" s="20" t="s">
        <v>114</v>
      </c>
      <c r="I579" s="18" t="s">
        <v>23</v>
      </c>
      <c r="J579" t="s">
        <v>21</v>
      </c>
    </row>
    <row r="580" spans="1:10" x14ac:dyDescent="0.25">
      <c r="A580" t="s">
        <v>24</v>
      </c>
      <c r="B580" s="16" t="s">
        <v>7</v>
      </c>
      <c r="C580" t="s">
        <v>7</v>
      </c>
      <c r="D580" t="str">
        <f>A580&amp;"-"&amp;B580&amp;"-"&amp;C580</f>
        <v>JUPITER-Aries-Aries</v>
      </c>
      <c r="E580" s="17" t="s">
        <v>98</v>
      </c>
      <c r="F580" s="18" t="s">
        <v>7</v>
      </c>
      <c r="G580" s="19" t="s">
        <v>7</v>
      </c>
      <c r="H580" s="20" t="s">
        <v>105</v>
      </c>
      <c r="I580" s="18" t="s">
        <v>23</v>
      </c>
      <c r="J580" t="s">
        <v>23</v>
      </c>
    </row>
    <row r="581" spans="1:10" x14ac:dyDescent="0.25">
      <c r="A581" t="s">
        <v>24</v>
      </c>
      <c r="B581" s="16" t="s">
        <v>7</v>
      </c>
      <c r="C581" t="s">
        <v>9</v>
      </c>
      <c r="D581" t="str">
        <f t="shared" ref="D581:D644" si="12">A581&amp;"-"&amp;B581&amp;"-"&amp;C581</f>
        <v>JUPITER-Aries-Taurus</v>
      </c>
      <c r="E581" s="17" t="s">
        <v>100</v>
      </c>
      <c r="F581" s="18" t="s">
        <v>29</v>
      </c>
      <c r="G581" s="19" t="s">
        <v>7</v>
      </c>
      <c r="H581" s="20" t="s">
        <v>106</v>
      </c>
      <c r="I581" s="18" t="s">
        <v>21</v>
      </c>
      <c r="J581" t="s">
        <v>23</v>
      </c>
    </row>
    <row r="582" spans="1:10" x14ac:dyDescent="0.25">
      <c r="A582" t="s">
        <v>24</v>
      </c>
      <c r="B582" s="16" t="s">
        <v>7</v>
      </c>
      <c r="C582" t="s">
        <v>12</v>
      </c>
      <c r="D582" t="str">
        <f t="shared" si="12"/>
        <v>JUPITER-Aries-Gemini</v>
      </c>
      <c r="E582" s="17" t="s">
        <v>102</v>
      </c>
      <c r="F582" s="18" t="s">
        <v>27</v>
      </c>
      <c r="G582" s="19" t="s">
        <v>7</v>
      </c>
      <c r="H582" s="20" t="s">
        <v>107</v>
      </c>
      <c r="I582" s="18" t="s">
        <v>10</v>
      </c>
      <c r="J582" t="s">
        <v>23</v>
      </c>
    </row>
    <row r="583" spans="1:10" x14ac:dyDescent="0.25">
      <c r="A583" t="s">
        <v>24</v>
      </c>
      <c r="B583" s="16" t="s">
        <v>7</v>
      </c>
      <c r="C583" t="s">
        <v>14</v>
      </c>
      <c r="D583" t="str">
        <f t="shared" si="12"/>
        <v>JUPITER-Aries-Cancer</v>
      </c>
      <c r="E583" s="17" t="s">
        <v>104</v>
      </c>
      <c r="F583" s="18" t="s">
        <v>25</v>
      </c>
      <c r="G583" s="19" t="s">
        <v>7</v>
      </c>
      <c r="H583" s="20" t="s">
        <v>108</v>
      </c>
      <c r="I583" s="18" t="s">
        <v>18</v>
      </c>
      <c r="J583" t="s">
        <v>23</v>
      </c>
    </row>
    <row r="584" spans="1:10" x14ac:dyDescent="0.25">
      <c r="A584" t="s">
        <v>24</v>
      </c>
      <c r="B584" s="16" t="s">
        <v>7</v>
      </c>
      <c r="C584" t="s">
        <v>16</v>
      </c>
      <c r="D584" t="str">
        <f t="shared" si="12"/>
        <v>JUPITER-Aries-Leo</v>
      </c>
      <c r="E584" s="17" t="s">
        <v>105</v>
      </c>
      <c r="F584" s="18" t="s">
        <v>23</v>
      </c>
      <c r="G584" s="19" t="s">
        <v>7</v>
      </c>
      <c r="H584" s="20" t="s">
        <v>109</v>
      </c>
      <c r="I584" s="18" t="s">
        <v>16</v>
      </c>
      <c r="J584" t="s">
        <v>23</v>
      </c>
    </row>
    <row r="585" spans="1:10" x14ac:dyDescent="0.25">
      <c r="A585" t="s">
        <v>24</v>
      </c>
      <c r="B585" s="16" t="s">
        <v>7</v>
      </c>
      <c r="C585" t="s">
        <v>18</v>
      </c>
      <c r="D585" t="str">
        <f t="shared" si="12"/>
        <v>JUPITER-Aries-Virgo</v>
      </c>
      <c r="E585" s="17" t="s">
        <v>106</v>
      </c>
      <c r="F585" s="18" t="s">
        <v>21</v>
      </c>
      <c r="G585" s="19" t="s">
        <v>7</v>
      </c>
      <c r="H585" s="20" t="s">
        <v>99</v>
      </c>
      <c r="I585" s="18" t="s">
        <v>14</v>
      </c>
      <c r="J585" t="s">
        <v>23</v>
      </c>
    </row>
    <row r="586" spans="1:10" x14ac:dyDescent="0.25">
      <c r="A586" t="s">
        <v>24</v>
      </c>
      <c r="B586" s="16" t="s">
        <v>7</v>
      </c>
      <c r="C586" t="s">
        <v>10</v>
      </c>
      <c r="D586" t="str">
        <f t="shared" si="12"/>
        <v>JUPITER-Aries-Libra</v>
      </c>
      <c r="E586" s="17" t="s">
        <v>107</v>
      </c>
      <c r="F586" s="18" t="s">
        <v>10</v>
      </c>
      <c r="G586" s="19" t="s">
        <v>7</v>
      </c>
      <c r="H586" s="20" t="s">
        <v>101</v>
      </c>
      <c r="I586" s="18" t="s">
        <v>12</v>
      </c>
      <c r="J586" t="s">
        <v>23</v>
      </c>
    </row>
    <row r="587" spans="1:10" x14ac:dyDescent="0.25">
      <c r="A587" t="s">
        <v>24</v>
      </c>
      <c r="B587" s="16" t="s">
        <v>7</v>
      </c>
      <c r="C587" t="s">
        <v>21</v>
      </c>
      <c r="D587" t="str">
        <f t="shared" si="12"/>
        <v>JUPITER-Aries-Scorpio</v>
      </c>
      <c r="E587" s="17" t="s">
        <v>108</v>
      </c>
      <c r="F587" s="18" t="s">
        <v>18</v>
      </c>
      <c r="G587" s="19" t="s">
        <v>7</v>
      </c>
      <c r="H587" s="20" t="s">
        <v>103</v>
      </c>
      <c r="I587" s="18" t="s">
        <v>9</v>
      </c>
      <c r="J587" t="s">
        <v>23</v>
      </c>
    </row>
    <row r="588" spans="1:10" x14ac:dyDescent="0.25">
      <c r="A588" t="s">
        <v>24</v>
      </c>
      <c r="B588" s="16" t="s">
        <v>7</v>
      </c>
      <c r="C588" t="s">
        <v>23</v>
      </c>
      <c r="D588" t="str">
        <f t="shared" si="12"/>
        <v>JUPITER-Aries-Sagittarius</v>
      </c>
      <c r="E588" s="17" t="s">
        <v>109</v>
      </c>
      <c r="F588" s="18" t="s">
        <v>16</v>
      </c>
      <c r="G588" s="19" t="s">
        <v>7</v>
      </c>
      <c r="H588" s="20" t="s">
        <v>98</v>
      </c>
      <c r="I588" s="18" t="s">
        <v>7</v>
      </c>
      <c r="J588" t="s">
        <v>23</v>
      </c>
    </row>
    <row r="589" spans="1:10" x14ac:dyDescent="0.25">
      <c r="A589" t="s">
        <v>24</v>
      </c>
      <c r="B589" s="16" t="s">
        <v>7</v>
      </c>
      <c r="C589" t="s">
        <v>25</v>
      </c>
      <c r="D589" t="str">
        <f t="shared" si="12"/>
        <v>JUPITER-Aries-Capricorn</v>
      </c>
      <c r="E589" s="17" t="s">
        <v>99</v>
      </c>
      <c r="F589" s="18" t="s">
        <v>14</v>
      </c>
      <c r="G589" s="19" t="s">
        <v>7</v>
      </c>
      <c r="H589" s="20" t="s">
        <v>100</v>
      </c>
      <c r="I589" s="18" t="s">
        <v>29</v>
      </c>
      <c r="J589" t="s">
        <v>23</v>
      </c>
    </row>
    <row r="590" spans="1:10" x14ac:dyDescent="0.25">
      <c r="A590" t="s">
        <v>24</v>
      </c>
      <c r="B590" s="16" t="s">
        <v>7</v>
      </c>
      <c r="C590" t="s">
        <v>27</v>
      </c>
      <c r="D590" t="str">
        <f t="shared" si="12"/>
        <v>JUPITER-Aries-Aquarius</v>
      </c>
      <c r="E590" s="17" t="s">
        <v>101</v>
      </c>
      <c r="F590" s="18" t="s">
        <v>12</v>
      </c>
      <c r="G590" s="19" t="s">
        <v>7</v>
      </c>
      <c r="H590" s="20" t="s">
        <v>102</v>
      </c>
      <c r="I590" s="18" t="s">
        <v>27</v>
      </c>
      <c r="J590" t="s">
        <v>23</v>
      </c>
    </row>
    <row r="591" spans="1:10" x14ac:dyDescent="0.25">
      <c r="A591" t="s">
        <v>24</v>
      </c>
      <c r="B591" s="16" t="s">
        <v>7</v>
      </c>
      <c r="C591" t="s">
        <v>29</v>
      </c>
      <c r="D591" t="str">
        <f t="shared" si="12"/>
        <v>JUPITER-Aries-Pisces</v>
      </c>
      <c r="E591" s="17" t="s">
        <v>103</v>
      </c>
      <c r="F591" s="18" t="s">
        <v>9</v>
      </c>
      <c r="G591" s="19" t="s">
        <v>7</v>
      </c>
      <c r="H591" s="20" t="s">
        <v>104</v>
      </c>
      <c r="I591" s="18" t="s">
        <v>25</v>
      </c>
      <c r="J591" t="s">
        <v>23</v>
      </c>
    </row>
    <row r="592" spans="1:10" x14ac:dyDescent="0.25">
      <c r="A592" t="s">
        <v>24</v>
      </c>
      <c r="B592" s="16" t="s">
        <v>9</v>
      </c>
      <c r="C592" t="s">
        <v>7</v>
      </c>
      <c r="D592" t="str">
        <f t="shared" si="12"/>
        <v>JUPITER-Taurus-Aries</v>
      </c>
      <c r="E592" s="17" t="s">
        <v>103</v>
      </c>
      <c r="F592" s="18" t="s">
        <v>9</v>
      </c>
      <c r="G592" s="19" t="s">
        <v>9</v>
      </c>
      <c r="H592" s="20" t="s">
        <v>105</v>
      </c>
      <c r="I592" s="18" t="s">
        <v>23</v>
      </c>
      <c r="J592" t="s">
        <v>23</v>
      </c>
    </row>
    <row r="593" spans="1:10" x14ac:dyDescent="0.25">
      <c r="A593" t="s">
        <v>24</v>
      </c>
      <c r="B593" s="16" t="s">
        <v>9</v>
      </c>
      <c r="C593" t="s">
        <v>9</v>
      </c>
      <c r="D593" t="str">
        <f t="shared" si="12"/>
        <v>JUPITER-Taurus-Taurus</v>
      </c>
      <c r="E593" s="17" t="s">
        <v>98</v>
      </c>
      <c r="F593" s="18" t="s">
        <v>7</v>
      </c>
      <c r="G593" s="19" t="s">
        <v>9</v>
      </c>
      <c r="H593" s="20" t="s">
        <v>106</v>
      </c>
      <c r="I593" s="18" t="s">
        <v>21</v>
      </c>
      <c r="J593" t="s">
        <v>23</v>
      </c>
    </row>
    <row r="594" spans="1:10" x14ac:dyDescent="0.25">
      <c r="A594" t="s">
        <v>24</v>
      </c>
      <c r="B594" s="16" t="s">
        <v>9</v>
      </c>
      <c r="C594" t="s">
        <v>12</v>
      </c>
      <c r="D594" t="str">
        <f t="shared" si="12"/>
        <v>JUPITER-Taurus-Gemini</v>
      </c>
      <c r="E594" s="17" t="s">
        <v>100</v>
      </c>
      <c r="F594" s="18" t="s">
        <v>29</v>
      </c>
      <c r="G594" s="19" t="s">
        <v>9</v>
      </c>
      <c r="H594" s="20" t="s">
        <v>107</v>
      </c>
      <c r="I594" s="18" t="s">
        <v>10</v>
      </c>
      <c r="J594" t="s">
        <v>23</v>
      </c>
    </row>
    <row r="595" spans="1:10" x14ac:dyDescent="0.25">
      <c r="A595" t="s">
        <v>24</v>
      </c>
      <c r="B595" s="16" t="s">
        <v>9</v>
      </c>
      <c r="C595" t="s">
        <v>14</v>
      </c>
      <c r="D595" t="str">
        <f t="shared" si="12"/>
        <v>JUPITER-Taurus-Cancer</v>
      </c>
      <c r="E595" s="17" t="s">
        <v>102</v>
      </c>
      <c r="F595" s="18" t="s">
        <v>27</v>
      </c>
      <c r="G595" s="19" t="s">
        <v>9</v>
      </c>
      <c r="H595" s="20" t="s">
        <v>108</v>
      </c>
      <c r="I595" s="18" t="s">
        <v>18</v>
      </c>
      <c r="J595" t="s">
        <v>23</v>
      </c>
    </row>
    <row r="596" spans="1:10" x14ac:dyDescent="0.25">
      <c r="A596" t="s">
        <v>24</v>
      </c>
      <c r="B596" s="16" t="s">
        <v>9</v>
      </c>
      <c r="C596" t="s">
        <v>16</v>
      </c>
      <c r="D596" t="str">
        <f t="shared" si="12"/>
        <v>JUPITER-Taurus-Leo</v>
      </c>
      <c r="E596" s="17" t="s">
        <v>104</v>
      </c>
      <c r="F596" s="18" t="s">
        <v>25</v>
      </c>
      <c r="G596" s="19" t="s">
        <v>9</v>
      </c>
      <c r="H596" s="20" t="s">
        <v>109</v>
      </c>
      <c r="I596" s="18" t="s">
        <v>16</v>
      </c>
      <c r="J596" t="s">
        <v>23</v>
      </c>
    </row>
    <row r="597" spans="1:10" x14ac:dyDescent="0.25">
      <c r="A597" t="s">
        <v>24</v>
      </c>
      <c r="B597" s="16" t="s">
        <v>9</v>
      </c>
      <c r="C597" t="s">
        <v>18</v>
      </c>
      <c r="D597" t="str">
        <f t="shared" si="12"/>
        <v>JUPITER-Taurus-Virgo</v>
      </c>
      <c r="E597" s="17" t="s">
        <v>105</v>
      </c>
      <c r="F597" s="18" t="s">
        <v>23</v>
      </c>
      <c r="G597" s="19" t="s">
        <v>9</v>
      </c>
      <c r="H597" s="20" t="s">
        <v>99</v>
      </c>
      <c r="I597" s="18" t="s">
        <v>14</v>
      </c>
      <c r="J597" t="s">
        <v>23</v>
      </c>
    </row>
    <row r="598" spans="1:10" x14ac:dyDescent="0.25">
      <c r="A598" t="s">
        <v>24</v>
      </c>
      <c r="B598" s="16" t="s">
        <v>9</v>
      </c>
      <c r="C598" t="s">
        <v>10</v>
      </c>
      <c r="D598" t="str">
        <f t="shared" si="12"/>
        <v>JUPITER-Taurus-Libra</v>
      </c>
      <c r="E598" s="17" t="s">
        <v>106</v>
      </c>
      <c r="F598" s="18" t="s">
        <v>21</v>
      </c>
      <c r="G598" s="19" t="s">
        <v>9</v>
      </c>
      <c r="H598" s="20" t="s">
        <v>101</v>
      </c>
      <c r="I598" s="18" t="s">
        <v>12</v>
      </c>
      <c r="J598" t="s">
        <v>23</v>
      </c>
    </row>
    <row r="599" spans="1:10" x14ac:dyDescent="0.25">
      <c r="A599" t="s">
        <v>24</v>
      </c>
      <c r="B599" s="16" t="s">
        <v>9</v>
      </c>
      <c r="C599" t="s">
        <v>21</v>
      </c>
      <c r="D599" t="str">
        <f t="shared" si="12"/>
        <v>JUPITER-Taurus-Scorpio</v>
      </c>
      <c r="E599" s="17" t="s">
        <v>107</v>
      </c>
      <c r="F599" s="18" t="s">
        <v>10</v>
      </c>
      <c r="G599" s="19" t="s">
        <v>9</v>
      </c>
      <c r="H599" s="20" t="s">
        <v>103</v>
      </c>
      <c r="I599" s="18" t="s">
        <v>9</v>
      </c>
      <c r="J599" t="s">
        <v>23</v>
      </c>
    </row>
    <row r="600" spans="1:10" x14ac:dyDescent="0.25">
      <c r="A600" t="s">
        <v>24</v>
      </c>
      <c r="B600" s="16" t="s">
        <v>9</v>
      </c>
      <c r="C600" t="s">
        <v>23</v>
      </c>
      <c r="D600" t="str">
        <f t="shared" si="12"/>
        <v>JUPITER-Taurus-Sagittarius</v>
      </c>
      <c r="E600" s="17" t="s">
        <v>108</v>
      </c>
      <c r="F600" s="18" t="s">
        <v>18</v>
      </c>
      <c r="G600" s="19" t="s">
        <v>9</v>
      </c>
      <c r="H600" s="20" t="s">
        <v>98</v>
      </c>
      <c r="I600" s="18" t="s">
        <v>7</v>
      </c>
      <c r="J600" t="s">
        <v>23</v>
      </c>
    </row>
    <row r="601" spans="1:10" x14ac:dyDescent="0.25">
      <c r="A601" t="s">
        <v>24</v>
      </c>
      <c r="B601" s="16" t="s">
        <v>9</v>
      </c>
      <c r="C601" t="s">
        <v>25</v>
      </c>
      <c r="D601" t="str">
        <f t="shared" si="12"/>
        <v>JUPITER-Taurus-Capricorn</v>
      </c>
      <c r="E601" s="17" t="s">
        <v>109</v>
      </c>
      <c r="F601" s="18" t="s">
        <v>16</v>
      </c>
      <c r="G601" s="19" t="s">
        <v>9</v>
      </c>
      <c r="H601" s="20" t="s">
        <v>100</v>
      </c>
      <c r="I601" s="18" t="s">
        <v>29</v>
      </c>
      <c r="J601" t="s">
        <v>23</v>
      </c>
    </row>
    <row r="602" spans="1:10" x14ac:dyDescent="0.25">
      <c r="A602" t="s">
        <v>24</v>
      </c>
      <c r="B602" s="16" t="s">
        <v>9</v>
      </c>
      <c r="C602" t="s">
        <v>27</v>
      </c>
      <c r="D602" t="str">
        <f t="shared" si="12"/>
        <v>JUPITER-Taurus-Aquarius</v>
      </c>
      <c r="E602" s="17" t="s">
        <v>99</v>
      </c>
      <c r="F602" s="18" t="s">
        <v>14</v>
      </c>
      <c r="G602" s="19" t="s">
        <v>9</v>
      </c>
      <c r="H602" s="20" t="s">
        <v>102</v>
      </c>
      <c r="I602" s="18" t="s">
        <v>27</v>
      </c>
      <c r="J602" t="s">
        <v>23</v>
      </c>
    </row>
    <row r="603" spans="1:10" x14ac:dyDescent="0.25">
      <c r="A603" t="s">
        <v>24</v>
      </c>
      <c r="B603" s="16" t="s">
        <v>9</v>
      </c>
      <c r="C603" t="s">
        <v>29</v>
      </c>
      <c r="D603" t="str">
        <f t="shared" si="12"/>
        <v>JUPITER-Taurus-Pisces</v>
      </c>
      <c r="E603" s="17" t="s">
        <v>101</v>
      </c>
      <c r="F603" s="18" t="s">
        <v>12</v>
      </c>
      <c r="G603" s="19" t="s">
        <v>9</v>
      </c>
      <c r="H603" s="20" t="s">
        <v>104</v>
      </c>
      <c r="I603" s="18" t="s">
        <v>25</v>
      </c>
      <c r="J603" t="s">
        <v>23</v>
      </c>
    </row>
    <row r="604" spans="1:10" x14ac:dyDescent="0.25">
      <c r="A604" t="s">
        <v>24</v>
      </c>
      <c r="B604" s="16" t="s">
        <v>12</v>
      </c>
      <c r="C604" t="s">
        <v>7</v>
      </c>
      <c r="D604" t="str">
        <f t="shared" si="12"/>
        <v>JUPITER-Gemini-Aries</v>
      </c>
      <c r="E604" s="17" t="s">
        <v>101</v>
      </c>
      <c r="F604" s="18" t="s">
        <v>12</v>
      </c>
      <c r="G604" s="19" t="s">
        <v>12</v>
      </c>
      <c r="H604" s="20" t="s">
        <v>105</v>
      </c>
      <c r="I604" s="18" t="s">
        <v>23</v>
      </c>
      <c r="J604" t="s">
        <v>23</v>
      </c>
    </row>
    <row r="605" spans="1:10" x14ac:dyDescent="0.25">
      <c r="A605" t="s">
        <v>24</v>
      </c>
      <c r="B605" s="16" t="s">
        <v>12</v>
      </c>
      <c r="C605" t="s">
        <v>9</v>
      </c>
      <c r="D605" t="str">
        <f t="shared" si="12"/>
        <v>JUPITER-Gemini-Taurus</v>
      </c>
      <c r="E605" s="17" t="s">
        <v>103</v>
      </c>
      <c r="F605" s="18" t="s">
        <v>9</v>
      </c>
      <c r="G605" s="19" t="s">
        <v>12</v>
      </c>
      <c r="H605" s="20" t="s">
        <v>106</v>
      </c>
      <c r="I605" s="18" t="s">
        <v>21</v>
      </c>
      <c r="J605" t="s">
        <v>23</v>
      </c>
    </row>
    <row r="606" spans="1:10" x14ac:dyDescent="0.25">
      <c r="A606" t="s">
        <v>24</v>
      </c>
      <c r="B606" s="16" t="s">
        <v>12</v>
      </c>
      <c r="C606" t="s">
        <v>12</v>
      </c>
      <c r="D606" t="str">
        <f t="shared" si="12"/>
        <v>JUPITER-Gemini-Gemini</v>
      </c>
      <c r="E606" s="17" t="s">
        <v>98</v>
      </c>
      <c r="F606" s="18" t="s">
        <v>7</v>
      </c>
      <c r="G606" s="19" t="s">
        <v>12</v>
      </c>
      <c r="H606" s="20" t="s">
        <v>107</v>
      </c>
      <c r="I606" s="18" t="s">
        <v>10</v>
      </c>
      <c r="J606" t="s">
        <v>23</v>
      </c>
    </row>
    <row r="607" spans="1:10" x14ac:dyDescent="0.25">
      <c r="A607" t="s">
        <v>24</v>
      </c>
      <c r="B607" s="16" t="s">
        <v>12</v>
      </c>
      <c r="C607" t="s">
        <v>14</v>
      </c>
      <c r="D607" t="str">
        <f t="shared" si="12"/>
        <v>JUPITER-Gemini-Cancer</v>
      </c>
      <c r="E607" s="17" t="s">
        <v>100</v>
      </c>
      <c r="F607" s="18" t="s">
        <v>29</v>
      </c>
      <c r="G607" s="19" t="s">
        <v>12</v>
      </c>
      <c r="H607" s="20" t="s">
        <v>108</v>
      </c>
      <c r="I607" s="18" t="s">
        <v>18</v>
      </c>
      <c r="J607" t="s">
        <v>23</v>
      </c>
    </row>
    <row r="608" spans="1:10" x14ac:dyDescent="0.25">
      <c r="A608" t="s">
        <v>24</v>
      </c>
      <c r="B608" s="16" t="s">
        <v>12</v>
      </c>
      <c r="C608" t="s">
        <v>16</v>
      </c>
      <c r="D608" t="str">
        <f t="shared" si="12"/>
        <v>JUPITER-Gemini-Leo</v>
      </c>
      <c r="E608" s="17" t="s">
        <v>102</v>
      </c>
      <c r="F608" s="18" t="s">
        <v>27</v>
      </c>
      <c r="G608" s="19" t="s">
        <v>12</v>
      </c>
      <c r="H608" s="20" t="s">
        <v>109</v>
      </c>
      <c r="I608" s="18" t="s">
        <v>16</v>
      </c>
      <c r="J608" t="s">
        <v>23</v>
      </c>
    </row>
    <row r="609" spans="1:10" x14ac:dyDescent="0.25">
      <c r="A609" t="s">
        <v>24</v>
      </c>
      <c r="B609" s="16" t="s">
        <v>12</v>
      </c>
      <c r="C609" t="s">
        <v>18</v>
      </c>
      <c r="D609" t="str">
        <f t="shared" si="12"/>
        <v>JUPITER-Gemini-Virgo</v>
      </c>
      <c r="E609" s="17" t="s">
        <v>104</v>
      </c>
      <c r="F609" s="18" t="s">
        <v>25</v>
      </c>
      <c r="G609" s="19" t="s">
        <v>12</v>
      </c>
      <c r="H609" s="20" t="s">
        <v>99</v>
      </c>
      <c r="I609" s="18" t="s">
        <v>14</v>
      </c>
      <c r="J609" t="s">
        <v>23</v>
      </c>
    </row>
    <row r="610" spans="1:10" x14ac:dyDescent="0.25">
      <c r="A610" t="s">
        <v>24</v>
      </c>
      <c r="B610" s="16" t="s">
        <v>12</v>
      </c>
      <c r="C610" t="s">
        <v>10</v>
      </c>
      <c r="D610" t="str">
        <f t="shared" si="12"/>
        <v>JUPITER-Gemini-Libra</v>
      </c>
      <c r="E610" s="17" t="s">
        <v>105</v>
      </c>
      <c r="F610" s="18" t="s">
        <v>23</v>
      </c>
      <c r="G610" s="19" t="s">
        <v>12</v>
      </c>
      <c r="H610" s="20" t="s">
        <v>101</v>
      </c>
      <c r="I610" s="18" t="s">
        <v>12</v>
      </c>
      <c r="J610" t="s">
        <v>23</v>
      </c>
    </row>
    <row r="611" spans="1:10" x14ac:dyDescent="0.25">
      <c r="A611" t="s">
        <v>24</v>
      </c>
      <c r="B611" s="16" t="s">
        <v>12</v>
      </c>
      <c r="C611" t="s">
        <v>21</v>
      </c>
      <c r="D611" t="str">
        <f t="shared" si="12"/>
        <v>JUPITER-Gemini-Scorpio</v>
      </c>
      <c r="E611" s="17" t="s">
        <v>106</v>
      </c>
      <c r="F611" s="18" t="s">
        <v>21</v>
      </c>
      <c r="G611" s="19" t="s">
        <v>12</v>
      </c>
      <c r="H611" s="20" t="s">
        <v>103</v>
      </c>
      <c r="I611" s="18" t="s">
        <v>9</v>
      </c>
      <c r="J611" t="s">
        <v>23</v>
      </c>
    </row>
    <row r="612" spans="1:10" x14ac:dyDescent="0.25">
      <c r="A612" t="s">
        <v>24</v>
      </c>
      <c r="B612" s="16" t="s">
        <v>12</v>
      </c>
      <c r="C612" t="s">
        <v>23</v>
      </c>
      <c r="D612" t="str">
        <f t="shared" si="12"/>
        <v>JUPITER-Gemini-Sagittarius</v>
      </c>
      <c r="E612" s="17" t="s">
        <v>107</v>
      </c>
      <c r="F612" s="18" t="s">
        <v>10</v>
      </c>
      <c r="G612" s="19" t="s">
        <v>12</v>
      </c>
      <c r="H612" s="20" t="s">
        <v>98</v>
      </c>
      <c r="I612" s="18" t="s">
        <v>7</v>
      </c>
      <c r="J612" t="s">
        <v>23</v>
      </c>
    </row>
    <row r="613" spans="1:10" x14ac:dyDescent="0.25">
      <c r="A613" t="s">
        <v>24</v>
      </c>
      <c r="B613" s="16" t="s">
        <v>12</v>
      </c>
      <c r="C613" t="s">
        <v>25</v>
      </c>
      <c r="D613" t="str">
        <f t="shared" si="12"/>
        <v>JUPITER-Gemini-Capricorn</v>
      </c>
      <c r="E613" s="17" t="s">
        <v>108</v>
      </c>
      <c r="F613" s="18" t="s">
        <v>18</v>
      </c>
      <c r="G613" s="19" t="s">
        <v>12</v>
      </c>
      <c r="H613" s="20" t="s">
        <v>100</v>
      </c>
      <c r="I613" s="18" t="s">
        <v>29</v>
      </c>
      <c r="J613" t="s">
        <v>23</v>
      </c>
    </row>
    <row r="614" spans="1:10" x14ac:dyDescent="0.25">
      <c r="A614" t="s">
        <v>24</v>
      </c>
      <c r="B614" s="16" t="s">
        <v>12</v>
      </c>
      <c r="C614" t="s">
        <v>27</v>
      </c>
      <c r="D614" t="str">
        <f t="shared" si="12"/>
        <v>JUPITER-Gemini-Aquarius</v>
      </c>
      <c r="E614" s="17" t="s">
        <v>109</v>
      </c>
      <c r="F614" s="18" t="s">
        <v>16</v>
      </c>
      <c r="G614" s="19" t="s">
        <v>12</v>
      </c>
      <c r="H614" s="20" t="s">
        <v>102</v>
      </c>
      <c r="I614" s="18" t="s">
        <v>27</v>
      </c>
      <c r="J614" t="s">
        <v>23</v>
      </c>
    </row>
    <row r="615" spans="1:10" x14ac:dyDescent="0.25">
      <c r="A615" t="s">
        <v>24</v>
      </c>
      <c r="B615" s="16" t="s">
        <v>12</v>
      </c>
      <c r="C615" t="s">
        <v>29</v>
      </c>
      <c r="D615" t="str">
        <f t="shared" si="12"/>
        <v>JUPITER-Gemini-Pisces</v>
      </c>
      <c r="E615" s="17" t="s">
        <v>99</v>
      </c>
      <c r="F615" s="18" t="s">
        <v>14</v>
      </c>
      <c r="G615" s="19" t="s">
        <v>12</v>
      </c>
      <c r="H615" s="20" t="s">
        <v>104</v>
      </c>
      <c r="I615" s="18" t="s">
        <v>25</v>
      </c>
      <c r="J615" t="s">
        <v>23</v>
      </c>
    </row>
    <row r="616" spans="1:10" x14ac:dyDescent="0.25">
      <c r="A616" t="s">
        <v>24</v>
      </c>
      <c r="B616" s="16" t="s">
        <v>14</v>
      </c>
      <c r="C616" t="s">
        <v>7</v>
      </c>
      <c r="D616" t="str">
        <f t="shared" si="12"/>
        <v>JUPITER-Cancer-Aries</v>
      </c>
      <c r="E616" s="17" t="s">
        <v>99</v>
      </c>
      <c r="F616" s="18" t="s">
        <v>14</v>
      </c>
      <c r="G616" s="19" t="s">
        <v>14</v>
      </c>
      <c r="H616" s="20" t="s">
        <v>105</v>
      </c>
      <c r="I616" s="18" t="s">
        <v>23</v>
      </c>
      <c r="J616" t="s">
        <v>23</v>
      </c>
    </row>
    <row r="617" spans="1:10" x14ac:dyDescent="0.25">
      <c r="A617" t="s">
        <v>24</v>
      </c>
      <c r="B617" s="16" t="s">
        <v>14</v>
      </c>
      <c r="C617" t="s">
        <v>9</v>
      </c>
      <c r="D617" t="str">
        <f t="shared" si="12"/>
        <v>JUPITER-Cancer-Taurus</v>
      </c>
      <c r="E617" s="17" t="s">
        <v>101</v>
      </c>
      <c r="F617" s="18" t="s">
        <v>12</v>
      </c>
      <c r="G617" s="19" t="s">
        <v>14</v>
      </c>
      <c r="H617" s="20" t="s">
        <v>106</v>
      </c>
      <c r="I617" s="18" t="s">
        <v>21</v>
      </c>
      <c r="J617" t="s">
        <v>23</v>
      </c>
    </row>
    <row r="618" spans="1:10" x14ac:dyDescent="0.25">
      <c r="A618" t="s">
        <v>24</v>
      </c>
      <c r="B618" s="16" t="s">
        <v>14</v>
      </c>
      <c r="C618" t="s">
        <v>12</v>
      </c>
      <c r="D618" t="str">
        <f t="shared" si="12"/>
        <v>JUPITER-Cancer-Gemini</v>
      </c>
      <c r="E618" s="17" t="s">
        <v>103</v>
      </c>
      <c r="F618" s="18" t="s">
        <v>9</v>
      </c>
      <c r="G618" s="19" t="s">
        <v>14</v>
      </c>
      <c r="H618" s="20" t="s">
        <v>107</v>
      </c>
      <c r="I618" s="18" t="s">
        <v>10</v>
      </c>
      <c r="J618" t="s">
        <v>23</v>
      </c>
    </row>
    <row r="619" spans="1:10" x14ac:dyDescent="0.25">
      <c r="A619" t="s">
        <v>24</v>
      </c>
      <c r="B619" s="16" t="s">
        <v>14</v>
      </c>
      <c r="C619" t="s">
        <v>14</v>
      </c>
      <c r="D619" t="str">
        <f t="shared" si="12"/>
        <v>JUPITER-Cancer-Cancer</v>
      </c>
      <c r="E619" s="17" t="s">
        <v>98</v>
      </c>
      <c r="F619" s="18" t="s">
        <v>7</v>
      </c>
      <c r="G619" s="19" t="s">
        <v>14</v>
      </c>
      <c r="H619" s="20" t="s">
        <v>108</v>
      </c>
      <c r="I619" s="18" t="s">
        <v>18</v>
      </c>
      <c r="J619" t="s">
        <v>23</v>
      </c>
    </row>
    <row r="620" spans="1:10" x14ac:dyDescent="0.25">
      <c r="A620" t="s">
        <v>24</v>
      </c>
      <c r="B620" s="16" t="s">
        <v>14</v>
      </c>
      <c r="C620" t="s">
        <v>16</v>
      </c>
      <c r="D620" t="str">
        <f t="shared" si="12"/>
        <v>JUPITER-Cancer-Leo</v>
      </c>
      <c r="E620" s="17" t="s">
        <v>100</v>
      </c>
      <c r="F620" s="18" t="s">
        <v>29</v>
      </c>
      <c r="G620" s="19" t="s">
        <v>14</v>
      </c>
      <c r="H620" s="20" t="s">
        <v>109</v>
      </c>
      <c r="I620" s="18" t="s">
        <v>16</v>
      </c>
      <c r="J620" t="s">
        <v>23</v>
      </c>
    </row>
    <row r="621" spans="1:10" x14ac:dyDescent="0.25">
      <c r="A621" t="s">
        <v>24</v>
      </c>
      <c r="B621" s="16" t="s">
        <v>14</v>
      </c>
      <c r="C621" t="s">
        <v>18</v>
      </c>
      <c r="D621" t="str">
        <f t="shared" si="12"/>
        <v>JUPITER-Cancer-Virgo</v>
      </c>
      <c r="E621" s="17" t="s">
        <v>102</v>
      </c>
      <c r="F621" s="18" t="s">
        <v>27</v>
      </c>
      <c r="G621" s="19" t="s">
        <v>14</v>
      </c>
      <c r="H621" s="20" t="s">
        <v>99</v>
      </c>
      <c r="I621" s="18" t="s">
        <v>14</v>
      </c>
      <c r="J621" t="s">
        <v>23</v>
      </c>
    </row>
    <row r="622" spans="1:10" x14ac:dyDescent="0.25">
      <c r="A622" t="s">
        <v>24</v>
      </c>
      <c r="B622" s="16" t="s">
        <v>14</v>
      </c>
      <c r="C622" t="s">
        <v>10</v>
      </c>
      <c r="D622" t="str">
        <f t="shared" si="12"/>
        <v>JUPITER-Cancer-Libra</v>
      </c>
      <c r="E622" s="17" t="s">
        <v>104</v>
      </c>
      <c r="F622" s="18" t="s">
        <v>25</v>
      </c>
      <c r="G622" s="19" t="s">
        <v>14</v>
      </c>
      <c r="H622" s="20" t="s">
        <v>101</v>
      </c>
      <c r="I622" s="18" t="s">
        <v>12</v>
      </c>
      <c r="J622" t="s">
        <v>23</v>
      </c>
    </row>
    <row r="623" spans="1:10" x14ac:dyDescent="0.25">
      <c r="A623" t="s">
        <v>24</v>
      </c>
      <c r="B623" s="16" t="s">
        <v>14</v>
      </c>
      <c r="C623" t="s">
        <v>21</v>
      </c>
      <c r="D623" t="str">
        <f t="shared" si="12"/>
        <v>JUPITER-Cancer-Scorpio</v>
      </c>
      <c r="E623" s="17" t="s">
        <v>105</v>
      </c>
      <c r="F623" s="18" t="s">
        <v>23</v>
      </c>
      <c r="G623" s="19" t="s">
        <v>14</v>
      </c>
      <c r="H623" s="20" t="s">
        <v>103</v>
      </c>
      <c r="I623" s="18" t="s">
        <v>9</v>
      </c>
      <c r="J623" t="s">
        <v>23</v>
      </c>
    </row>
    <row r="624" spans="1:10" x14ac:dyDescent="0.25">
      <c r="A624" t="s">
        <v>24</v>
      </c>
      <c r="B624" s="16" t="s">
        <v>14</v>
      </c>
      <c r="C624" t="s">
        <v>23</v>
      </c>
      <c r="D624" t="str">
        <f t="shared" si="12"/>
        <v>JUPITER-Cancer-Sagittarius</v>
      </c>
      <c r="E624" s="17" t="s">
        <v>106</v>
      </c>
      <c r="F624" s="18" t="s">
        <v>21</v>
      </c>
      <c r="G624" s="19" t="s">
        <v>14</v>
      </c>
      <c r="H624" s="20" t="s">
        <v>98</v>
      </c>
      <c r="I624" s="18" t="s">
        <v>7</v>
      </c>
      <c r="J624" t="s">
        <v>23</v>
      </c>
    </row>
    <row r="625" spans="1:10" x14ac:dyDescent="0.25">
      <c r="A625" t="s">
        <v>24</v>
      </c>
      <c r="B625" s="16" t="s">
        <v>14</v>
      </c>
      <c r="C625" t="s">
        <v>25</v>
      </c>
      <c r="D625" t="str">
        <f t="shared" si="12"/>
        <v>JUPITER-Cancer-Capricorn</v>
      </c>
      <c r="E625" s="17" t="s">
        <v>107</v>
      </c>
      <c r="F625" s="18" t="s">
        <v>10</v>
      </c>
      <c r="G625" s="19" t="s">
        <v>14</v>
      </c>
      <c r="H625" s="20" t="s">
        <v>100</v>
      </c>
      <c r="I625" s="18" t="s">
        <v>29</v>
      </c>
      <c r="J625" t="s">
        <v>23</v>
      </c>
    </row>
    <row r="626" spans="1:10" x14ac:dyDescent="0.25">
      <c r="A626" t="s">
        <v>24</v>
      </c>
      <c r="B626" s="16" t="s">
        <v>14</v>
      </c>
      <c r="C626" t="s">
        <v>27</v>
      </c>
      <c r="D626" t="str">
        <f t="shared" si="12"/>
        <v>JUPITER-Cancer-Aquarius</v>
      </c>
      <c r="E626" s="17" t="s">
        <v>108</v>
      </c>
      <c r="F626" s="18" t="s">
        <v>18</v>
      </c>
      <c r="G626" s="19" t="s">
        <v>14</v>
      </c>
      <c r="H626" s="20" t="s">
        <v>102</v>
      </c>
      <c r="I626" s="18" t="s">
        <v>27</v>
      </c>
      <c r="J626" t="s">
        <v>23</v>
      </c>
    </row>
    <row r="627" spans="1:10" x14ac:dyDescent="0.25">
      <c r="A627" t="s">
        <v>24</v>
      </c>
      <c r="B627" s="16" t="s">
        <v>14</v>
      </c>
      <c r="C627" t="s">
        <v>29</v>
      </c>
      <c r="D627" t="str">
        <f t="shared" si="12"/>
        <v>JUPITER-Cancer-Pisces</v>
      </c>
      <c r="E627" s="17" t="s">
        <v>109</v>
      </c>
      <c r="F627" s="18" t="s">
        <v>16</v>
      </c>
      <c r="G627" s="19" t="s">
        <v>14</v>
      </c>
      <c r="H627" s="20" t="s">
        <v>104</v>
      </c>
      <c r="I627" s="18" t="s">
        <v>25</v>
      </c>
      <c r="J627" t="s">
        <v>23</v>
      </c>
    </row>
    <row r="628" spans="1:10" x14ac:dyDescent="0.25">
      <c r="A628" t="s">
        <v>24</v>
      </c>
      <c r="B628" s="16" t="s">
        <v>16</v>
      </c>
      <c r="C628" t="s">
        <v>7</v>
      </c>
      <c r="D628" t="str">
        <f t="shared" si="12"/>
        <v>JUPITER-Leo-Aries</v>
      </c>
      <c r="E628" s="17" t="s">
        <v>109</v>
      </c>
      <c r="F628" s="18" t="s">
        <v>16</v>
      </c>
      <c r="G628" s="19" t="s">
        <v>16</v>
      </c>
      <c r="H628" s="20" t="s">
        <v>105</v>
      </c>
      <c r="I628" s="18" t="s">
        <v>23</v>
      </c>
      <c r="J628" t="s">
        <v>23</v>
      </c>
    </row>
    <row r="629" spans="1:10" x14ac:dyDescent="0.25">
      <c r="A629" t="s">
        <v>24</v>
      </c>
      <c r="B629" s="16" t="s">
        <v>16</v>
      </c>
      <c r="C629" t="s">
        <v>9</v>
      </c>
      <c r="D629" t="str">
        <f t="shared" si="12"/>
        <v>JUPITER-Leo-Taurus</v>
      </c>
      <c r="E629" s="17" t="s">
        <v>99</v>
      </c>
      <c r="F629" s="18" t="s">
        <v>14</v>
      </c>
      <c r="G629" s="19" t="s">
        <v>16</v>
      </c>
      <c r="H629" s="20" t="s">
        <v>106</v>
      </c>
      <c r="I629" s="18" t="s">
        <v>21</v>
      </c>
      <c r="J629" t="s">
        <v>23</v>
      </c>
    </row>
    <row r="630" spans="1:10" x14ac:dyDescent="0.25">
      <c r="A630" t="s">
        <v>24</v>
      </c>
      <c r="B630" s="16" t="s">
        <v>16</v>
      </c>
      <c r="C630" t="s">
        <v>12</v>
      </c>
      <c r="D630" t="str">
        <f t="shared" si="12"/>
        <v>JUPITER-Leo-Gemini</v>
      </c>
      <c r="E630" s="17" t="s">
        <v>101</v>
      </c>
      <c r="F630" s="18" t="s">
        <v>12</v>
      </c>
      <c r="G630" s="19" t="s">
        <v>16</v>
      </c>
      <c r="H630" s="20" t="s">
        <v>107</v>
      </c>
      <c r="I630" s="18" t="s">
        <v>10</v>
      </c>
      <c r="J630" t="s">
        <v>23</v>
      </c>
    </row>
    <row r="631" spans="1:10" x14ac:dyDescent="0.25">
      <c r="A631" t="s">
        <v>24</v>
      </c>
      <c r="B631" s="16" t="s">
        <v>16</v>
      </c>
      <c r="C631" t="s">
        <v>14</v>
      </c>
      <c r="D631" t="str">
        <f t="shared" si="12"/>
        <v>JUPITER-Leo-Cancer</v>
      </c>
      <c r="E631" s="17" t="s">
        <v>103</v>
      </c>
      <c r="F631" s="18" t="s">
        <v>9</v>
      </c>
      <c r="G631" s="19" t="s">
        <v>16</v>
      </c>
      <c r="H631" s="20" t="s">
        <v>108</v>
      </c>
      <c r="I631" s="18" t="s">
        <v>18</v>
      </c>
      <c r="J631" t="s">
        <v>23</v>
      </c>
    </row>
    <row r="632" spans="1:10" x14ac:dyDescent="0.25">
      <c r="A632" t="s">
        <v>24</v>
      </c>
      <c r="B632" s="16" t="s">
        <v>16</v>
      </c>
      <c r="C632" t="s">
        <v>16</v>
      </c>
      <c r="D632" t="str">
        <f t="shared" si="12"/>
        <v>JUPITER-Leo-Leo</v>
      </c>
      <c r="E632" s="17" t="s">
        <v>98</v>
      </c>
      <c r="F632" s="18" t="s">
        <v>7</v>
      </c>
      <c r="G632" s="19" t="s">
        <v>16</v>
      </c>
      <c r="H632" s="20" t="s">
        <v>109</v>
      </c>
      <c r="I632" s="18" t="s">
        <v>16</v>
      </c>
      <c r="J632" t="s">
        <v>23</v>
      </c>
    </row>
    <row r="633" spans="1:10" x14ac:dyDescent="0.25">
      <c r="A633" t="s">
        <v>24</v>
      </c>
      <c r="B633" s="16" t="s">
        <v>16</v>
      </c>
      <c r="C633" t="s">
        <v>18</v>
      </c>
      <c r="D633" t="str">
        <f t="shared" si="12"/>
        <v>JUPITER-Leo-Virgo</v>
      </c>
      <c r="E633" s="17" t="s">
        <v>100</v>
      </c>
      <c r="F633" s="18" t="s">
        <v>29</v>
      </c>
      <c r="G633" s="19" t="s">
        <v>16</v>
      </c>
      <c r="H633" s="20" t="s">
        <v>99</v>
      </c>
      <c r="I633" s="18" t="s">
        <v>14</v>
      </c>
      <c r="J633" t="s">
        <v>23</v>
      </c>
    </row>
    <row r="634" spans="1:10" x14ac:dyDescent="0.25">
      <c r="A634" t="s">
        <v>24</v>
      </c>
      <c r="B634" s="16" t="s">
        <v>16</v>
      </c>
      <c r="C634" t="s">
        <v>10</v>
      </c>
      <c r="D634" t="str">
        <f t="shared" si="12"/>
        <v>JUPITER-Leo-Libra</v>
      </c>
      <c r="E634" s="17" t="s">
        <v>102</v>
      </c>
      <c r="F634" s="18" t="s">
        <v>27</v>
      </c>
      <c r="G634" s="19" t="s">
        <v>16</v>
      </c>
      <c r="H634" s="20" t="s">
        <v>101</v>
      </c>
      <c r="I634" s="18" t="s">
        <v>12</v>
      </c>
      <c r="J634" t="s">
        <v>23</v>
      </c>
    </row>
    <row r="635" spans="1:10" x14ac:dyDescent="0.25">
      <c r="A635" t="s">
        <v>24</v>
      </c>
      <c r="B635" s="16" t="s">
        <v>16</v>
      </c>
      <c r="C635" t="s">
        <v>21</v>
      </c>
      <c r="D635" t="str">
        <f t="shared" si="12"/>
        <v>JUPITER-Leo-Scorpio</v>
      </c>
      <c r="E635" s="17" t="s">
        <v>104</v>
      </c>
      <c r="F635" s="18" t="s">
        <v>25</v>
      </c>
      <c r="G635" s="19" t="s">
        <v>16</v>
      </c>
      <c r="H635" s="20" t="s">
        <v>103</v>
      </c>
      <c r="I635" s="18" t="s">
        <v>9</v>
      </c>
      <c r="J635" t="s">
        <v>23</v>
      </c>
    </row>
    <row r="636" spans="1:10" x14ac:dyDescent="0.25">
      <c r="A636" t="s">
        <v>24</v>
      </c>
      <c r="B636" s="16" t="s">
        <v>16</v>
      </c>
      <c r="C636" t="s">
        <v>23</v>
      </c>
      <c r="D636" t="str">
        <f t="shared" si="12"/>
        <v>JUPITER-Leo-Sagittarius</v>
      </c>
      <c r="E636" s="17" t="s">
        <v>105</v>
      </c>
      <c r="F636" s="18" t="s">
        <v>23</v>
      </c>
      <c r="G636" s="19" t="s">
        <v>16</v>
      </c>
      <c r="H636" s="20" t="s">
        <v>98</v>
      </c>
      <c r="I636" s="18" t="s">
        <v>7</v>
      </c>
      <c r="J636" t="s">
        <v>23</v>
      </c>
    </row>
    <row r="637" spans="1:10" x14ac:dyDescent="0.25">
      <c r="A637" t="s">
        <v>24</v>
      </c>
      <c r="B637" s="16" t="s">
        <v>16</v>
      </c>
      <c r="C637" t="s">
        <v>25</v>
      </c>
      <c r="D637" t="str">
        <f t="shared" si="12"/>
        <v>JUPITER-Leo-Capricorn</v>
      </c>
      <c r="E637" s="17" t="s">
        <v>106</v>
      </c>
      <c r="F637" s="18" t="s">
        <v>21</v>
      </c>
      <c r="G637" s="19" t="s">
        <v>16</v>
      </c>
      <c r="H637" s="20" t="s">
        <v>100</v>
      </c>
      <c r="I637" s="18" t="s">
        <v>29</v>
      </c>
      <c r="J637" t="s">
        <v>23</v>
      </c>
    </row>
    <row r="638" spans="1:10" x14ac:dyDescent="0.25">
      <c r="A638" t="s">
        <v>24</v>
      </c>
      <c r="B638" s="16" t="s">
        <v>16</v>
      </c>
      <c r="C638" t="s">
        <v>27</v>
      </c>
      <c r="D638" t="str">
        <f t="shared" si="12"/>
        <v>JUPITER-Leo-Aquarius</v>
      </c>
      <c r="E638" s="17" t="s">
        <v>107</v>
      </c>
      <c r="F638" s="18" t="s">
        <v>10</v>
      </c>
      <c r="G638" s="19" t="s">
        <v>16</v>
      </c>
      <c r="H638" s="20" t="s">
        <v>102</v>
      </c>
      <c r="I638" s="18" t="s">
        <v>27</v>
      </c>
      <c r="J638" t="s">
        <v>23</v>
      </c>
    </row>
    <row r="639" spans="1:10" x14ac:dyDescent="0.25">
      <c r="A639" t="s">
        <v>24</v>
      </c>
      <c r="B639" s="16" t="s">
        <v>16</v>
      </c>
      <c r="C639" t="s">
        <v>29</v>
      </c>
      <c r="D639" t="str">
        <f t="shared" si="12"/>
        <v>JUPITER-Leo-Pisces</v>
      </c>
      <c r="E639" s="17" t="s">
        <v>108</v>
      </c>
      <c r="F639" s="18" t="s">
        <v>18</v>
      </c>
      <c r="G639" s="19" t="s">
        <v>16</v>
      </c>
      <c r="H639" s="20" t="s">
        <v>104</v>
      </c>
      <c r="I639" s="18" t="s">
        <v>25</v>
      </c>
      <c r="J639" t="s">
        <v>23</v>
      </c>
    </row>
    <row r="640" spans="1:10" x14ac:dyDescent="0.25">
      <c r="A640" t="s">
        <v>24</v>
      </c>
      <c r="B640" s="16" t="s">
        <v>18</v>
      </c>
      <c r="C640" t="s">
        <v>7</v>
      </c>
      <c r="D640" t="str">
        <f t="shared" si="12"/>
        <v>JUPITER-Virgo-Aries</v>
      </c>
      <c r="E640" s="17" t="s">
        <v>108</v>
      </c>
      <c r="F640" s="18" t="s">
        <v>18</v>
      </c>
      <c r="G640" s="19" t="s">
        <v>18</v>
      </c>
      <c r="H640" s="20" t="s">
        <v>105</v>
      </c>
      <c r="I640" s="18" t="s">
        <v>23</v>
      </c>
      <c r="J640" t="s">
        <v>23</v>
      </c>
    </row>
    <row r="641" spans="1:10" x14ac:dyDescent="0.25">
      <c r="A641" t="s">
        <v>24</v>
      </c>
      <c r="B641" s="16" t="s">
        <v>18</v>
      </c>
      <c r="C641" t="s">
        <v>9</v>
      </c>
      <c r="D641" t="str">
        <f t="shared" si="12"/>
        <v>JUPITER-Virgo-Taurus</v>
      </c>
      <c r="E641" s="17" t="s">
        <v>109</v>
      </c>
      <c r="F641" s="18" t="s">
        <v>16</v>
      </c>
      <c r="G641" s="19" t="s">
        <v>18</v>
      </c>
      <c r="H641" s="20" t="s">
        <v>106</v>
      </c>
      <c r="I641" s="18" t="s">
        <v>21</v>
      </c>
      <c r="J641" t="s">
        <v>23</v>
      </c>
    </row>
    <row r="642" spans="1:10" x14ac:dyDescent="0.25">
      <c r="A642" t="s">
        <v>24</v>
      </c>
      <c r="B642" s="16" t="s">
        <v>18</v>
      </c>
      <c r="C642" t="s">
        <v>12</v>
      </c>
      <c r="D642" t="str">
        <f t="shared" si="12"/>
        <v>JUPITER-Virgo-Gemini</v>
      </c>
      <c r="E642" s="17" t="s">
        <v>99</v>
      </c>
      <c r="F642" s="18" t="s">
        <v>14</v>
      </c>
      <c r="G642" s="19" t="s">
        <v>18</v>
      </c>
      <c r="H642" s="20" t="s">
        <v>107</v>
      </c>
      <c r="I642" s="18" t="s">
        <v>10</v>
      </c>
      <c r="J642" t="s">
        <v>23</v>
      </c>
    </row>
    <row r="643" spans="1:10" x14ac:dyDescent="0.25">
      <c r="A643" t="s">
        <v>24</v>
      </c>
      <c r="B643" s="16" t="s">
        <v>18</v>
      </c>
      <c r="C643" t="s">
        <v>14</v>
      </c>
      <c r="D643" t="str">
        <f t="shared" si="12"/>
        <v>JUPITER-Virgo-Cancer</v>
      </c>
      <c r="E643" s="17" t="s">
        <v>101</v>
      </c>
      <c r="F643" s="18" t="s">
        <v>12</v>
      </c>
      <c r="G643" s="19" t="s">
        <v>18</v>
      </c>
      <c r="H643" s="20" t="s">
        <v>108</v>
      </c>
      <c r="I643" s="18" t="s">
        <v>18</v>
      </c>
      <c r="J643" t="s">
        <v>23</v>
      </c>
    </row>
    <row r="644" spans="1:10" x14ac:dyDescent="0.25">
      <c r="A644" t="s">
        <v>24</v>
      </c>
      <c r="B644" s="16" t="s">
        <v>18</v>
      </c>
      <c r="C644" t="s">
        <v>16</v>
      </c>
      <c r="D644" t="str">
        <f t="shared" si="12"/>
        <v>JUPITER-Virgo-Leo</v>
      </c>
      <c r="E644" s="17" t="s">
        <v>103</v>
      </c>
      <c r="F644" s="18" t="s">
        <v>9</v>
      </c>
      <c r="G644" s="19" t="s">
        <v>18</v>
      </c>
      <c r="H644" s="20" t="s">
        <v>109</v>
      </c>
      <c r="I644" s="18" t="s">
        <v>16</v>
      </c>
      <c r="J644" t="s">
        <v>23</v>
      </c>
    </row>
    <row r="645" spans="1:10" x14ac:dyDescent="0.25">
      <c r="A645" t="s">
        <v>24</v>
      </c>
      <c r="B645" s="16" t="s">
        <v>18</v>
      </c>
      <c r="C645" t="s">
        <v>18</v>
      </c>
      <c r="D645" t="str">
        <f t="shared" ref="D645:D708" si="13">A645&amp;"-"&amp;B645&amp;"-"&amp;C645</f>
        <v>JUPITER-Virgo-Virgo</v>
      </c>
      <c r="E645" s="17" t="s">
        <v>98</v>
      </c>
      <c r="F645" s="18" t="s">
        <v>7</v>
      </c>
      <c r="G645" s="19" t="s">
        <v>18</v>
      </c>
      <c r="H645" s="20" t="s">
        <v>99</v>
      </c>
      <c r="I645" s="18" t="s">
        <v>14</v>
      </c>
      <c r="J645" t="s">
        <v>23</v>
      </c>
    </row>
    <row r="646" spans="1:10" x14ac:dyDescent="0.25">
      <c r="A646" t="s">
        <v>24</v>
      </c>
      <c r="B646" s="16" t="s">
        <v>18</v>
      </c>
      <c r="C646" t="s">
        <v>10</v>
      </c>
      <c r="D646" t="str">
        <f t="shared" si="13"/>
        <v>JUPITER-Virgo-Libra</v>
      </c>
      <c r="E646" s="17" t="s">
        <v>100</v>
      </c>
      <c r="F646" s="18" t="s">
        <v>29</v>
      </c>
      <c r="G646" s="19" t="s">
        <v>18</v>
      </c>
      <c r="H646" s="20" t="s">
        <v>101</v>
      </c>
      <c r="I646" s="18" t="s">
        <v>12</v>
      </c>
      <c r="J646" t="s">
        <v>23</v>
      </c>
    </row>
    <row r="647" spans="1:10" x14ac:dyDescent="0.25">
      <c r="A647" t="s">
        <v>24</v>
      </c>
      <c r="B647" s="16" t="s">
        <v>18</v>
      </c>
      <c r="C647" t="s">
        <v>21</v>
      </c>
      <c r="D647" t="str">
        <f t="shared" si="13"/>
        <v>JUPITER-Virgo-Scorpio</v>
      </c>
      <c r="E647" s="17" t="s">
        <v>102</v>
      </c>
      <c r="F647" s="18" t="s">
        <v>27</v>
      </c>
      <c r="G647" s="19" t="s">
        <v>18</v>
      </c>
      <c r="H647" s="20" t="s">
        <v>103</v>
      </c>
      <c r="I647" s="18" t="s">
        <v>9</v>
      </c>
      <c r="J647" t="s">
        <v>23</v>
      </c>
    </row>
    <row r="648" spans="1:10" x14ac:dyDescent="0.25">
      <c r="A648" t="s">
        <v>24</v>
      </c>
      <c r="B648" s="16" t="s">
        <v>18</v>
      </c>
      <c r="C648" t="s">
        <v>23</v>
      </c>
      <c r="D648" t="str">
        <f t="shared" si="13"/>
        <v>JUPITER-Virgo-Sagittarius</v>
      </c>
      <c r="E648" s="17" t="s">
        <v>104</v>
      </c>
      <c r="F648" s="18" t="s">
        <v>25</v>
      </c>
      <c r="G648" s="19" t="s">
        <v>18</v>
      </c>
      <c r="H648" s="20" t="s">
        <v>98</v>
      </c>
      <c r="I648" s="18" t="s">
        <v>7</v>
      </c>
      <c r="J648" t="s">
        <v>23</v>
      </c>
    </row>
    <row r="649" spans="1:10" x14ac:dyDescent="0.25">
      <c r="A649" t="s">
        <v>24</v>
      </c>
      <c r="B649" s="16" t="s">
        <v>18</v>
      </c>
      <c r="C649" t="s">
        <v>25</v>
      </c>
      <c r="D649" t="str">
        <f t="shared" si="13"/>
        <v>JUPITER-Virgo-Capricorn</v>
      </c>
      <c r="E649" s="17" t="s">
        <v>105</v>
      </c>
      <c r="F649" s="18" t="s">
        <v>23</v>
      </c>
      <c r="G649" s="19" t="s">
        <v>18</v>
      </c>
      <c r="H649" s="20" t="s">
        <v>100</v>
      </c>
      <c r="I649" s="18" t="s">
        <v>29</v>
      </c>
      <c r="J649" t="s">
        <v>23</v>
      </c>
    </row>
    <row r="650" spans="1:10" x14ac:dyDescent="0.25">
      <c r="A650" t="s">
        <v>24</v>
      </c>
      <c r="B650" s="16" t="s">
        <v>18</v>
      </c>
      <c r="C650" t="s">
        <v>27</v>
      </c>
      <c r="D650" t="str">
        <f t="shared" si="13"/>
        <v>JUPITER-Virgo-Aquarius</v>
      </c>
      <c r="E650" s="17" t="s">
        <v>106</v>
      </c>
      <c r="F650" s="18" t="s">
        <v>21</v>
      </c>
      <c r="G650" s="19" t="s">
        <v>18</v>
      </c>
      <c r="H650" s="20" t="s">
        <v>102</v>
      </c>
      <c r="I650" s="18" t="s">
        <v>27</v>
      </c>
      <c r="J650" t="s">
        <v>23</v>
      </c>
    </row>
    <row r="651" spans="1:10" x14ac:dyDescent="0.25">
      <c r="A651" t="s">
        <v>24</v>
      </c>
      <c r="B651" s="16" t="s">
        <v>18</v>
      </c>
      <c r="C651" t="s">
        <v>29</v>
      </c>
      <c r="D651" t="str">
        <f t="shared" si="13"/>
        <v>JUPITER-Virgo-Pisces</v>
      </c>
      <c r="E651" s="17" t="s">
        <v>107</v>
      </c>
      <c r="F651" s="18" t="s">
        <v>10</v>
      </c>
      <c r="G651" s="19" t="s">
        <v>18</v>
      </c>
      <c r="H651" s="20" t="s">
        <v>104</v>
      </c>
      <c r="I651" s="18" t="s">
        <v>25</v>
      </c>
      <c r="J651" t="s">
        <v>23</v>
      </c>
    </row>
    <row r="652" spans="1:10" x14ac:dyDescent="0.25">
      <c r="A652" t="s">
        <v>24</v>
      </c>
      <c r="B652" s="16" t="s">
        <v>10</v>
      </c>
      <c r="C652" t="s">
        <v>7</v>
      </c>
      <c r="D652" t="str">
        <f t="shared" si="13"/>
        <v>JUPITER-Libra-Aries</v>
      </c>
      <c r="E652" s="17" t="s">
        <v>107</v>
      </c>
      <c r="F652" s="18" t="s">
        <v>10</v>
      </c>
      <c r="G652" s="19" t="s">
        <v>10</v>
      </c>
      <c r="H652" s="20" t="s">
        <v>105</v>
      </c>
      <c r="I652" s="18" t="s">
        <v>23</v>
      </c>
      <c r="J652" t="s">
        <v>23</v>
      </c>
    </row>
    <row r="653" spans="1:10" x14ac:dyDescent="0.25">
      <c r="A653" t="s">
        <v>24</v>
      </c>
      <c r="B653" s="16" t="s">
        <v>10</v>
      </c>
      <c r="C653" t="s">
        <v>9</v>
      </c>
      <c r="D653" t="str">
        <f t="shared" si="13"/>
        <v>JUPITER-Libra-Taurus</v>
      </c>
      <c r="E653" s="17" t="s">
        <v>108</v>
      </c>
      <c r="F653" s="18" t="s">
        <v>18</v>
      </c>
      <c r="G653" s="19" t="s">
        <v>10</v>
      </c>
      <c r="H653" s="20" t="s">
        <v>106</v>
      </c>
      <c r="I653" s="18" t="s">
        <v>21</v>
      </c>
      <c r="J653" t="s">
        <v>23</v>
      </c>
    </row>
    <row r="654" spans="1:10" x14ac:dyDescent="0.25">
      <c r="A654" t="s">
        <v>24</v>
      </c>
      <c r="B654" s="16" t="s">
        <v>10</v>
      </c>
      <c r="C654" t="s">
        <v>12</v>
      </c>
      <c r="D654" t="str">
        <f t="shared" si="13"/>
        <v>JUPITER-Libra-Gemini</v>
      </c>
      <c r="E654" s="17" t="s">
        <v>109</v>
      </c>
      <c r="F654" s="18" t="s">
        <v>16</v>
      </c>
      <c r="G654" s="19" t="s">
        <v>10</v>
      </c>
      <c r="H654" s="20" t="s">
        <v>107</v>
      </c>
      <c r="I654" s="18" t="s">
        <v>10</v>
      </c>
      <c r="J654" t="s">
        <v>23</v>
      </c>
    </row>
    <row r="655" spans="1:10" x14ac:dyDescent="0.25">
      <c r="A655" t="s">
        <v>24</v>
      </c>
      <c r="B655" s="16" t="s">
        <v>10</v>
      </c>
      <c r="C655" t="s">
        <v>14</v>
      </c>
      <c r="D655" t="str">
        <f t="shared" si="13"/>
        <v>JUPITER-Libra-Cancer</v>
      </c>
      <c r="E655" s="17" t="s">
        <v>99</v>
      </c>
      <c r="F655" s="18" t="s">
        <v>14</v>
      </c>
      <c r="G655" s="19" t="s">
        <v>10</v>
      </c>
      <c r="H655" s="20" t="s">
        <v>108</v>
      </c>
      <c r="I655" s="18" t="s">
        <v>18</v>
      </c>
      <c r="J655" t="s">
        <v>23</v>
      </c>
    </row>
    <row r="656" spans="1:10" x14ac:dyDescent="0.25">
      <c r="A656" t="s">
        <v>24</v>
      </c>
      <c r="B656" s="16" t="s">
        <v>10</v>
      </c>
      <c r="C656" t="s">
        <v>16</v>
      </c>
      <c r="D656" t="str">
        <f t="shared" si="13"/>
        <v>JUPITER-Libra-Leo</v>
      </c>
      <c r="E656" s="17" t="s">
        <v>101</v>
      </c>
      <c r="F656" s="18" t="s">
        <v>12</v>
      </c>
      <c r="G656" s="19" t="s">
        <v>10</v>
      </c>
      <c r="H656" s="20" t="s">
        <v>109</v>
      </c>
      <c r="I656" s="18" t="s">
        <v>16</v>
      </c>
      <c r="J656" t="s">
        <v>23</v>
      </c>
    </row>
    <row r="657" spans="1:10" x14ac:dyDescent="0.25">
      <c r="A657" t="s">
        <v>24</v>
      </c>
      <c r="B657" s="16" t="s">
        <v>10</v>
      </c>
      <c r="C657" t="s">
        <v>18</v>
      </c>
      <c r="D657" t="str">
        <f t="shared" si="13"/>
        <v>JUPITER-Libra-Virgo</v>
      </c>
      <c r="E657" s="17" t="s">
        <v>103</v>
      </c>
      <c r="F657" s="18" t="s">
        <v>9</v>
      </c>
      <c r="G657" s="19" t="s">
        <v>10</v>
      </c>
      <c r="H657" s="20" t="s">
        <v>99</v>
      </c>
      <c r="I657" s="18" t="s">
        <v>14</v>
      </c>
      <c r="J657" t="s">
        <v>23</v>
      </c>
    </row>
    <row r="658" spans="1:10" x14ac:dyDescent="0.25">
      <c r="A658" t="s">
        <v>24</v>
      </c>
      <c r="B658" s="16" t="s">
        <v>10</v>
      </c>
      <c r="C658" t="s">
        <v>10</v>
      </c>
      <c r="D658" t="str">
        <f t="shared" si="13"/>
        <v>JUPITER-Libra-Libra</v>
      </c>
      <c r="E658" s="17" t="s">
        <v>98</v>
      </c>
      <c r="F658" s="18" t="s">
        <v>7</v>
      </c>
      <c r="G658" s="19" t="s">
        <v>10</v>
      </c>
      <c r="H658" s="20" t="s">
        <v>101</v>
      </c>
      <c r="I658" s="18" t="s">
        <v>12</v>
      </c>
      <c r="J658" t="s">
        <v>23</v>
      </c>
    </row>
    <row r="659" spans="1:10" x14ac:dyDescent="0.25">
      <c r="A659" t="s">
        <v>24</v>
      </c>
      <c r="B659" s="16" t="s">
        <v>10</v>
      </c>
      <c r="C659" t="s">
        <v>21</v>
      </c>
      <c r="D659" t="str">
        <f t="shared" si="13"/>
        <v>JUPITER-Libra-Scorpio</v>
      </c>
      <c r="E659" s="17" t="s">
        <v>100</v>
      </c>
      <c r="F659" s="18" t="s">
        <v>29</v>
      </c>
      <c r="G659" s="19" t="s">
        <v>10</v>
      </c>
      <c r="H659" s="20" t="s">
        <v>103</v>
      </c>
      <c r="I659" s="18" t="s">
        <v>9</v>
      </c>
      <c r="J659" t="s">
        <v>23</v>
      </c>
    </row>
    <row r="660" spans="1:10" x14ac:dyDescent="0.25">
      <c r="A660" t="s">
        <v>24</v>
      </c>
      <c r="B660" s="16" t="s">
        <v>10</v>
      </c>
      <c r="C660" t="s">
        <v>23</v>
      </c>
      <c r="D660" t="str">
        <f t="shared" si="13"/>
        <v>JUPITER-Libra-Sagittarius</v>
      </c>
      <c r="E660" s="17" t="s">
        <v>102</v>
      </c>
      <c r="F660" s="18" t="s">
        <v>27</v>
      </c>
      <c r="G660" s="19" t="s">
        <v>10</v>
      </c>
      <c r="H660" s="20" t="s">
        <v>98</v>
      </c>
      <c r="I660" s="18" t="s">
        <v>7</v>
      </c>
      <c r="J660" t="s">
        <v>23</v>
      </c>
    </row>
    <row r="661" spans="1:10" x14ac:dyDescent="0.25">
      <c r="A661" t="s">
        <v>24</v>
      </c>
      <c r="B661" s="16" t="s">
        <v>10</v>
      </c>
      <c r="C661" t="s">
        <v>25</v>
      </c>
      <c r="D661" t="str">
        <f t="shared" si="13"/>
        <v>JUPITER-Libra-Capricorn</v>
      </c>
      <c r="E661" s="17" t="s">
        <v>104</v>
      </c>
      <c r="F661" s="18" t="s">
        <v>25</v>
      </c>
      <c r="G661" s="19" t="s">
        <v>10</v>
      </c>
      <c r="H661" s="20" t="s">
        <v>100</v>
      </c>
      <c r="I661" s="18" t="s">
        <v>29</v>
      </c>
      <c r="J661" t="s">
        <v>23</v>
      </c>
    </row>
    <row r="662" spans="1:10" x14ac:dyDescent="0.25">
      <c r="A662" t="s">
        <v>24</v>
      </c>
      <c r="B662" s="16" t="s">
        <v>10</v>
      </c>
      <c r="C662" t="s">
        <v>27</v>
      </c>
      <c r="D662" t="str">
        <f t="shared" si="13"/>
        <v>JUPITER-Libra-Aquarius</v>
      </c>
      <c r="E662" s="17" t="s">
        <v>105</v>
      </c>
      <c r="F662" s="18" t="s">
        <v>23</v>
      </c>
      <c r="G662" s="19" t="s">
        <v>10</v>
      </c>
      <c r="H662" s="20" t="s">
        <v>102</v>
      </c>
      <c r="I662" s="18" t="s">
        <v>27</v>
      </c>
      <c r="J662" t="s">
        <v>23</v>
      </c>
    </row>
    <row r="663" spans="1:10" x14ac:dyDescent="0.25">
      <c r="A663" t="s">
        <v>24</v>
      </c>
      <c r="B663" s="16" t="s">
        <v>10</v>
      </c>
      <c r="C663" t="s">
        <v>29</v>
      </c>
      <c r="D663" t="str">
        <f t="shared" si="13"/>
        <v>JUPITER-Libra-Pisces</v>
      </c>
      <c r="E663" s="17" t="s">
        <v>106</v>
      </c>
      <c r="F663" s="18" t="s">
        <v>21</v>
      </c>
      <c r="G663" s="19" t="s">
        <v>10</v>
      </c>
      <c r="H663" s="20" t="s">
        <v>104</v>
      </c>
      <c r="I663" s="18" t="s">
        <v>25</v>
      </c>
      <c r="J663" t="s">
        <v>23</v>
      </c>
    </row>
    <row r="664" spans="1:10" x14ac:dyDescent="0.25">
      <c r="A664" t="s">
        <v>24</v>
      </c>
      <c r="B664" s="16" t="s">
        <v>21</v>
      </c>
      <c r="C664" t="s">
        <v>7</v>
      </c>
      <c r="D664" t="str">
        <f t="shared" si="13"/>
        <v>JUPITER-Scorpio-Aries</v>
      </c>
      <c r="E664" s="17" t="s">
        <v>106</v>
      </c>
      <c r="F664" s="18" t="s">
        <v>21</v>
      </c>
      <c r="G664" s="19" t="s">
        <v>21</v>
      </c>
      <c r="H664" s="20" t="s">
        <v>105</v>
      </c>
      <c r="I664" s="18" t="s">
        <v>23</v>
      </c>
      <c r="J664" t="s">
        <v>23</v>
      </c>
    </row>
    <row r="665" spans="1:10" x14ac:dyDescent="0.25">
      <c r="A665" t="s">
        <v>24</v>
      </c>
      <c r="B665" s="16" t="s">
        <v>21</v>
      </c>
      <c r="C665" t="s">
        <v>9</v>
      </c>
      <c r="D665" t="str">
        <f t="shared" si="13"/>
        <v>JUPITER-Scorpio-Taurus</v>
      </c>
      <c r="E665" s="17" t="s">
        <v>107</v>
      </c>
      <c r="F665" s="18" t="s">
        <v>10</v>
      </c>
      <c r="G665" s="19" t="s">
        <v>21</v>
      </c>
      <c r="H665" s="20" t="s">
        <v>106</v>
      </c>
      <c r="I665" s="18" t="s">
        <v>21</v>
      </c>
      <c r="J665" t="s">
        <v>23</v>
      </c>
    </row>
    <row r="666" spans="1:10" x14ac:dyDescent="0.25">
      <c r="A666" t="s">
        <v>24</v>
      </c>
      <c r="B666" s="16" t="s">
        <v>21</v>
      </c>
      <c r="C666" t="s">
        <v>12</v>
      </c>
      <c r="D666" t="str">
        <f t="shared" si="13"/>
        <v>JUPITER-Scorpio-Gemini</v>
      </c>
      <c r="E666" s="17" t="s">
        <v>108</v>
      </c>
      <c r="F666" s="18" t="s">
        <v>18</v>
      </c>
      <c r="G666" s="19" t="s">
        <v>21</v>
      </c>
      <c r="H666" s="20" t="s">
        <v>107</v>
      </c>
      <c r="I666" s="18" t="s">
        <v>10</v>
      </c>
      <c r="J666" t="s">
        <v>23</v>
      </c>
    </row>
    <row r="667" spans="1:10" x14ac:dyDescent="0.25">
      <c r="A667" t="s">
        <v>24</v>
      </c>
      <c r="B667" s="16" t="s">
        <v>21</v>
      </c>
      <c r="C667" t="s">
        <v>14</v>
      </c>
      <c r="D667" t="str">
        <f t="shared" si="13"/>
        <v>JUPITER-Scorpio-Cancer</v>
      </c>
      <c r="E667" s="17" t="s">
        <v>109</v>
      </c>
      <c r="F667" s="18" t="s">
        <v>16</v>
      </c>
      <c r="G667" s="19" t="s">
        <v>21</v>
      </c>
      <c r="H667" s="20" t="s">
        <v>108</v>
      </c>
      <c r="I667" s="18" t="s">
        <v>18</v>
      </c>
      <c r="J667" t="s">
        <v>23</v>
      </c>
    </row>
    <row r="668" spans="1:10" x14ac:dyDescent="0.25">
      <c r="A668" t="s">
        <v>24</v>
      </c>
      <c r="B668" s="16" t="s">
        <v>21</v>
      </c>
      <c r="C668" t="s">
        <v>16</v>
      </c>
      <c r="D668" t="str">
        <f t="shared" si="13"/>
        <v>JUPITER-Scorpio-Leo</v>
      </c>
      <c r="E668" s="17" t="s">
        <v>99</v>
      </c>
      <c r="F668" s="18" t="s">
        <v>14</v>
      </c>
      <c r="G668" s="19" t="s">
        <v>21</v>
      </c>
      <c r="H668" s="20" t="s">
        <v>109</v>
      </c>
      <c r="I668" s="18" t="s">
        <v>16</v>
      </c>
      <c r="J668" t="s">
        <v>23</v>
      </c>
    </row>
    <row r="669" spans="1:10" x14ac:dyDescent="0.25">
      <c r="A669" t="s">
        <v>24</v>
      </c>
      <c r="B669" s="16" t="s">
        <v>21</v>
      </c>
      <c r="C669" t="s">
        <v>18</v>
      </c>
      <c r="D669" t="str">
        <f t="shared" si="13"/>
        <v>JUPITER-Scorpio-Virgo</v>
      </c>
      <c r="E669" s="17" t="s">
        <v>101</v>
      </c>
      <c r="F669" s="18" t="s">
        <v>12</v>
      </c>
      <c r="G669" s="19" t="s">
        <v>21</v>
      </c>
      <c r="H669" s="20" t="s">
        <v>99</v>
      </c>
      <c r="I669" s="18" t="s">
        <v>14</v>
      </c>
      <c r="J669" t="s">
        <v>23</v>
      </c>
    </row>
    <row r="670" spans="1:10" x14ac:dyDescent="0.25">
      <c r="A670" t="s">
        <v>24</v>
      </c>
      <c r="B670" s="16" t="s">
        <v>21</v>
      </c>
      <c r="C670" t="s">
        <v>10</v>
      </c>
      <c r="D670" t="str">
        <f t="shared" si="13"/>
        <v>JUPITER-Scorpio-Libra</v>
      </c>
      <c r="E670" s="17" t="s">
        <v>103</v>
      </c>
      <c r="F670" s="18" t="s">
        <v>9</v>
      </c>
      <c r="G670" s="19" t="s">
        <v>21</v>
      </c>
      <c r="H670" s="20" t="s">
        <v>101</v>
      </c>
      <c r="I670" s="18" t="s">
        <v>12</v>
      </c>
      <c r="J670" t="s">
        <v>23</v>
      </c>
    </row>
    <row r="671" spans="1:10" x14ac:dyDescent="0.25">
      <c r="A671" t="s">
        <v>24</v>
      </c>
      <c r="B671" s="16" t="s">
        <v>21</v>
      </c>
      <c r="C671" t="s">
        <v>21</v>
      </c>
      <c r="D671" t="str">
        <f t="shared" si="13"/>
        <v>JUPITER-Scorpio-Scorpio</v>
      </c>
      <c r="E671" s="17" t="s">
        <v>98</v>
      </c>
      <c r="F671" s="18" t="s">
        <v>7</v>
      </c>
      <c r="G671" s="19" t="s">
        <v>21</v>
      </c>
      <c r="H671" s="20" t="s">
        <v>103</v>
      </c>
      <c r="I671" s="18" t="s">
        <v>9</v>
      </c>
      <c r="J671" t="s">
        <v>23</v>
      </c>
    </row>
    <row r="672" spans="1:10" x14ac:dyDescent="0.25">
      <c r="A672" t="s">
        <v>24</v>
      </c>
      <c r="B672" s="16" t="s">
        <v>21</v>
      </c>
      <c r="C672" t="s">
        <v>23</v>
      </c>
      <c r="D672" t="str">
        <f t="shared" si="13"/>
        <v>JUPITER-Scorpio-Sagittarius</v>
      </c>
      <c r="E672" s="17" t="s">
        <v>100</v>
      </c>
      <c r="F672" s="18" t="s">
        <v>29</v>
      </c>
      <c r="G672" s="19" t="s">
        <v>21</v>
      </c>
      <c r="H672" s="20" t="s">
        <v>98</v>
      </c>
      <c r="I672" s="18" t="s">
        <v>7</v>
      </c>
      <c r="J672" t="s">
        <v>23</v>
      </c>
    </row>
    <row r="673" spans="1:10" x14ac:dyDescent="0.25">
      <c r="A673" t="s">
        <v>24</v>
      </c>
      <c r="B673" s="16" t="s">
        <v>21</v>
      </c>
      <c r="C673" t="s">
        <v>25</v>
      </c>
      <c r="D673" t="str">
        <f t="shared" si="13"/>
        <v>JUPITER-Scorpio-Capricorn</v>
      </c>
      <c r="E673" s="17" t="s">
        <v>102</v>
      </c>
      <c r="F673" s="18" t="s">
        <v>27</v>
      </c>
      <c r="G673" s="19" t="s">
        <v>21</v>
      </c>
      <c r="H673" s="20" t="s">
        <v>100</v>
      </c>
      <c r="I673" s="18" t="s">
        <v>29</v>
      </c>
      <c r="J673" t="s">
        <v>23</v>
      </c>
    </row>
    <row r="674" spans="1:10" x14ac:dyDescent="0.25">
      <c r="A674" t="s">
        <v>24</v>
      </c>
      <c r="B674" s="16" t="s">
        <v>21</v>
      </c>
      <c r="C674" t="s">
        <v>27</v>
      </c>
      <c r="D674" t="str">
        <f t="shared" si="13"/>
        <v>JUPITER-Scorpio-Aquarius</v>
      </c>
      <c r="E674" s="17" t="s">
        <v>104</v>
      </c>
      <c r="F674" s="18" t="s">
        <v>25</v>
      </c>
      <c r="G674" s="19" t="s">
        <v>21</v>
      </c>
      <c r="H674" s="20" t="s">
        <v>102</v>
      </c>
      <c r="I674" s="18" t="s">
        <v>27</v>
      </c>
      <c r="J674" t="s">
        <v>23</v>
      </c>
    </row>
    <row r="675" spans="1:10" x14ac:dyDescent="0.25">
      <c r="A675" t="s">
        <v>24</v>
      </c>
      <c r="B675" s="16" t="s">
        <v>21</v>
      </c>
      <c r="C675" t="s">
        <v>29</v>
      </c>
      <c r="D675" t="str">
        <f t="shared" si="13"/>
        <v>JUPITER-Scorpio-Pisces</v>
      </c>
      <c r="E675" s="17" t="s">
        <v>105</v>
      </c>
      <c r="F675" s="18" t="s">
        <v>23</v>
      </c>
      <c r="G675" s="19" t="s">
        <v>21</v>
      </c>
      <c r="H675" s="20" t="s">
        <v>104</v>
      </c>
      <c r="I675" s="18" t="s">
        <v>25</v>
      </c>
      <c r="J675" t="s">
        <v>23</v>
      </c>
    </row>
    <row r="676" spans="1:10" x14ac:dyDescent="0.25">
      <c r="A676" t="s">
        <v>24</v>
      </c>
      <c r="B676" s="16" t="s">
        <v>23</v>
      </c>
      <c r="C676" t="s">
        <v>7</v>
      </c>
      <c r="D676" t="str">
        <f t="shared" si="13"/>
        <v>JUPITER-Sagittarius-Aries</v>
      </c>
      <c r="E676" s="17" t="s">
        <v>105</v>
      </c>
      <c r="F676" s="18" t="s">
        <v>23</v>
      </c>
      <c r="G676" s="19" t="s">
        <v>23</v>
      </c>
      <c r="H676" s="20" t="s">
        <v>105</v>
      </c>
      <c r="I676" s="18" t="s">
        <v>23</v>
      </c>
      <c r="J676" t="s">
        <v>23</v>
      </c>
    </row>
    <row r="677" spans="1:10" x14ac:dyDescent="0.25">
      <c r="A677" t="s">
        <v>24</v>
      </c>
      <c r="B677" s="16" t="s">
        <v>23</v>
      </c>
      <c r="C677" t="s">
        <v>9</v>
      </c>
      <c r="D677" t="str">
        <f t="shared" si="13"/>
        <v>JUPITER-Sagittarius-Taurus</v>
      </c>
      <c r="E677" s="17" t="s">
        <v>106</v>
      </c>
      <c r="F677" s="18" t="s">
        <v>21</v>
      </c>
      <c r="G677" s="19" t="s">
        <v>23</v>
      </c>
      <c r="H677" s="20" t="s">
        <v>106</v>
      </c>
      <c r="I677" s="18" t="s">
        <v>21</v>
      </c>
      <c r="J677" t="s">
        <v>23</v>
      </c>
    </row>
    <row r="678" spans="1:10" x14ac:dyDescent="0.25">
      <c r="A678" t="s">
        <v>24</v>
      </c>
      <c r="B678" s="16" t="s">
        <v>23</v>
      </c>
      <c r="C678" t="s">
        <v>12</v>
      </c>
      <c r="D678" t="str">
        <f t="shared" si="13"/>
        <v>JUPITER-Sagittarius-Gemini</v>
      </c>
      <c r="E678" s="17" t="s">
        <v>107</v>
      </c>
      <c r="F678" s="18" t="s">
        <v>10</v>
      </c>
      <c r="G678" s="19" t="s">
        <v>23</v>
      </c>
      <c r="H678" s="20" t="s">
        <v>107</v>
      </c>
      <c r="I678" s="18" t="s">
        <v>10</v>
      </c>
      <c r="J678" t="s">
        <v>23</v>
      </c>
    </row>
    <row r="679" spans="1:10" x14ac:dyDescent="0.25">
      <c r="A679" t="s">
        <v>24</v>
      </c>
      <c r="B679" s="16" t="s">
        <v>23</v>
      </c>
      <c r="C679" t="s">
        <v>14</v>
      </c>
      <c r="D679" t="str">
        <f t="shared" si="13"/>
        <v>JUPITER-Sagittarius-Cancer</v>
      </c>
      <c r="E679" s="17" t="s">
        <v>108</v>
      </c>
      <c r="F679" s="18" t="s">
        <v>18</v>
      </c>
      <c r="G679" s="19" t="s">
        <v>23</v>
      </c>
      <c r="H679" s="20" t="s">
        <v>108</v>
      </c>
      <c r="I679" s="18" t="s">
        <v>18</v>
      </c>
      <c r="J679" t="s">
        <v>23</v>
      </c>
    </row>
    <row r="680" spans="1:10" x14ac:dyDescent="0.25">
      <c r="A680" t="s">
        <v>24</v>
      </c>
      <c r="B680" s="16" t="s">
        <v>23</v>
      </c>
      <c r="C680" t="s">
        <v>16</v>
      </c>
      <c r="D680" t="str">
        <f t="shared" si="13"/>
        <v>JUPITER-Sagittarius-Leo</v>
      </c>
      <c r="E680" s="17" t="s">
        <v>109</v>
      </c>
      <c r="F680" s="18" t="s">
        <v>16</v>
      </c>
      <c r="G680" s="19" t="s">
        <v>23</v>
      </c>
      <c r="H680" s="20" t="s">
        <v>109</v>
      </c>
      <c r="I680" s="18" t="s">
        <v>16</v>
      </c>
      <c r="J680" t="s">
        <v>23</v>
      </c>
    </row>
    <row r="681" spans="1:10" x14ac:dyDescent="0.25">
      <c r="A681" t="s">
        <v>24</v>
      </c>
      <c r="B681" s="16" t="s">
        <v>23</v>
      </c>
      <c r="C681" t="s">
        <v>18</v>
      </c>
      <c r="D681" t="str">
        <f t="shared" si="13"/>
        <v>JUPITER-Sagittarius-Virgo</v>
      </c>
      <c r="E681" s="17" t="s">
        <v>99</v>
      </c>
      <c r="F681" s="18" t="s">
        <v>14</v>
      </c>
      <c r="G681" s="19" t="s">
        <v>23</v>
      </c>
      <c r="H681" s="20" t="s">
        <v>99</v>
      </c>
      <c r="I681" s="18" t="s">
        <v>14</v>
      </c>
      <c r="J681" t="s">
        <v>23</v>
      </c>
    </row>
    <row r="682" spans="1:10" x14ac:dyDescent="0.25">
      <c r="A682" t="s">
        <v>24</v>
      </c>
      <c r="B682" s="16" t="s">
        <v>23</v>
      </c>
      <c r="C682" t="s">
        <v>10</v>
      </c>
      <c r="D682" t="str">
        <f t="shared" si="13"/>
        <v>JUPITER-Sagittarius-Libra</v>
      </c>
      <c r="E682" s="17" t="s">
        <v>101</v>
      </c>
      <c r="F682" s="18" t="s">
        <v>12</v>
      </c>
      <c r="G682" s="19" t="s">
        <v>23</v>
      </c>
      <c r="H682" s="20" t="s">
        <v>101</v>
      </c>
      <c r="I682" s="18" t="s">
        <v>12</v>
      </c>
      <c r="J682" t="s">
        <v>23</v>
      </c>
    </row>
    <row r="683" spans="1:10" x14ac:dyDescent="0.25">
      <c r="A683" t="s">
        <v>24</v>
      </c>
      <c r="B683" s="16" t="s">
        <v>23</v>
      </c>
      <c r="C683" t="s">
        <v>21</v>
      </c>
      <c r="D683" t="str">
        <f t="shared" si="13"/>
        <v>JUPITER-Sagittarius-Scorpio</v>
      </c>
      <c r="E683" s="17" t="s">
        <v>103</v>
      </c>
      <c r="F683" s="18" t="s">
        <v>9</v>
      </c>
      <c r="G683" s="19" t="s">
        <v>23</v>
      </c>
      <c r="H683" s="20" t="s">
        <v>103</v>
      </c>
      <c r="I683" s="18" t="s">
        <v>9</v>
      </c>
      <c r="J683" t="s">
        <v>23</v>
      </c>
    </row>
    <row r="684" spans="1:10" x14ac:dyDescent="0.25">
      <c r="A684" t="s">
        <v>24</v>
      </c>
      <c r="B684" s="16" t="s">
        <v>23</v>
      </c>
      <c r="C684" t="s">
        <v>23</v>
      </c>
      <c r="D684" t="str">
        <f t="shared" si="13"/>
        <v>JUPITER-Sagittarius-Sagittarius</v>
      </c>
      <c r="E684" s="17" t="s">
        <v>98</v>
      </c>
      <c r="F684" s="18" t="s">
        <v>7</v>
      </c>
      <c r="G684" s="19" t="s">
        <v>23</v>
      </c>
      <c r="H684" s="20" t="s">
        <v>98</v>
      </c>
      <c r="I684" s="18" t="s">
        <v>7</v>
      </c>
      <c r="J684" t="s">
        <v>23</v>
      </c>
    </row>
    <row r="685" spans="1:10" x14ac:dyDescent="0.25">
      <c r="A685" t="s">
        <v>24</v>
      </c>
      <c r="B685" s="16" t="s">
        <v>23</v>
      </c>
      <c r="C685" t="s">
        <v>25</v>
      </c>
      <c r="D685" t="str">
        <f t="shared" si="13"/>
        <v>JUPITER-Sagittarius-Capricorn</v>
      </c>
      <c r="E685" s="17" t="s">
        <v>100</v>
      </c>
      <c r="F685" s="18" t="s">
        <v>29</v>
      </c>
      <c r="G685" s="19" t="s">
        <v>23</v>
      </c>
      <c r="H685" s="20" t="s">
        <v>100</v>
      </c>
      <c r="I685" s="18" t="s">
        <v>29</v>
      </c>
      <c r="J685" t="s">
        <v>23</v>
      </c>
    </row>
    <row r="686" spans="1:10" x14ac:dyDescent="0.25">
      <c r="A686" t="s">
        <v>24</v>
      </c>
      <c r="B686" s="16" t="s">
        <v>23</v>
      </c>
      <c r="C686" t="s">
        <v>27</v>
      </c>
      <c r="D686" t="str">
        <f t="shared" si="13"/>
        <v>JUPITER-Sagittarius-Aquarius</v>
      </c>
      <c r="E686" s="17" t="s">
        <v>102</v>
      </c>
      <c r="F686" s="18" t="s">
        <v>27</v>
      </c>
      <c r="G686" s="19" t="s">
        <v>23</v>
      </c>
      <c r="H686" s="20" t="s">
        <v>102</v>
      </c>
      <c r="I686" s="18" t="s">
        <v>27</v>
      </c>
      <c r="J686" t="s">
        <v>23</v>
      </c>
    </row>
    <row r="687" spans="1:10" x14ac:dyDescent="0.25">
      <c r="A687" t="s">
        <v>24</v>
      </c>
      <c r="B687" s="16" t="s">
        <v>23</v>
      </c>
      <c r="C687" t="s">
        <v>29</v>
      </c>
      <c r="D687" t="str">
        <f t="shared" si="13"/>
        <v>JUPITER-Sagittarius-Pisces</v>
      </c>
      <c r="E687" s="17" t="s">
        <v>104</v>
      </c>
      <c r="F687" s="18" t="s">
        <v>25</v>
      </c>
      <c r="G687" s="19" t="s">
        <v>23</v>
      </c>
      <c r="H687" s="20" t="s">
        <v>104</v>
      </c>
      <c r="I687" s="18" t="s">
        <v>25</v>
      </c>
      <c r="J687" t="s">
        <v>23</v>
      </c>
    </row>
    <row r="688" spans="1:10" x14ac:dyDescent="0.25">
      <c r="A688" t="s">
        <v>24</v>
      </c>
      <c r="B688" s="16" t="s">
        <v>25</v>
      </c>
      <c r="C688" t="s">
        <v>7</v>
      </c>
      <c r="D688" t="str">
        <f t="shared" si="13"/>
        <v>JUPITER-Capricorn-Aries</v>
      </c>
      <c r="E688" s="17" t="s">
        <v>104</v>
      </c>
      <c r="F688" s="18" t="s">
        <v>25</v>
      </c>
      <c r="G688" s="19" t="s">
        <v>25</v>
      </c>
      <c r="H688" s="20" t="s">
        <v>105</v>
      </c>
      <c r="I688" s="18" t="s">
        <v>23</v>
      </c>
      <c r="J688" t="s">
        <v>23</v>
      </c>
    </row>
    <row r="689" spans="1:10" x14ac:dyDescent="0.25">
      <c r="A689" t="s">
        <v>24</v>
      </c>
      <c r="B689" s="16" t="s">
        <v>25</v>
      </c>
      <c r="C689" t="s">
        <v>9</v>
      </c>
      <c r="D689" t="str">
        <f t="shared" si="13"/>
        <v>JUPITER-Capricorn-Taurus</v>
      </c>
      <c r="E689" s="17" t="s">
        <v>105</v>
      </c>
      <c r="F689" s="18" t="s">
        <v>23</v>
      </c>
      <c r="G689" s="19" t="s">
        <v>25</v>
      </c>
      <c r="H689" s="20" t="s">
        <v>106</v>
      </c>
      <c r="I689" s="18" t="s">
        <v>21</v>
      </c>
      <c r="J689" t="s">
        <v>23</v>
      </c>
    </row>
    <row r="690" spans="1:10" x14ac:dyDescent="0.25">
      <c r="A690" t="s">
        <v>24</v>
      </c>
      <c r="B690" s="16" t="s">
        <v>25</v>
      </c>
      <c r="C690" t="s">
        <v>12</v>
      </c>
      <c r="D690" t="str">
        <f t="shared" si="13"/>
        <v>JUPITER-Capricorn-Gemini</v>
      </c>
      <c r="E690" s="17" t="s">
        <v>106</v>
      </c>
      <c r="F690" s="18" t="s">
        <v>21</v>
      </c>
      <c r="G690" s="19" t="s">
        <v>25</v>
      </c>
      <c r="H690" s="20" t="s">
        <v>107</v>
      </c>
      <c r="I690" s="18" t="s">
        <v>10</v>
      </c>
      <c r="J690" t="s">
        <v>23</v>
      </c>
    </row>
    <row r="691" spans="1:10" x14ac:dyDescent="0.25">
      <c r="A691" t="s">
        <v>24</v>
      </c>
      <c r="B691" s="16" t="s">
        <v>25</v>
      </c>
      <c r="C691" t="s">
        <v>14</v>
      </c>
      <c r="D691" t="str">
        <f t="shared" si="13"/>
        <v>JUPITER-Capricorn-Cancer</v>
      </c>
      <c r="E691" s="17" t="s">
        <v>107</v>
      </c>
      <c r="F691" s="18" t="s">
        <v>10</v>
      </c>
      <c r="G691" s="19" t="s">
        <v>25</v>
      </c>
      <c r="H691" s="20" t="s">
        <v>108</v>
      </c>
      <c r="I691" s="18" t="s">
        <v>18</v>
      </c>
      <c r="J691" t="s">
        <v>23</v>
      </c>
    </row>
    <row r="692" spans="1:10" x14ac:dyDescent="0.25">
      <c r="A692" t="s">
        <v>24</v>
      </c>
      <c r="B692" s="16" t="s">
        <v>25</v>
      </c>
      <c r="C692" t="s">
        <v>16</v>
      </c>
      <c r="D692" t="str">
        <f t="shared" si="13"/>
        <v>JUPITER-Capricorn-Leo</v>
      </c>
      <c r="E692" s="17" t="s">
        <v>108</v>
      </c>
      <c r="F692" s="18" t="s">
        <v>18</v>
      </c>
      <c r="G692" s="19" t="s">
        <v>25</v>
      </c>
      <c r="H692" s="20" t="s">
        <v>109</v>
      </c>
      <c r="I692" s="18" t="s">
        <v>16</v>
      </c>
      <c r="J692" t="s">
        <v>23</v>
      </c>
    </row>
    <row r="693" spans="1:10" x14ac:dyDescent="0.25">
      <c r="A693" t="s">
        <v>24</v>
      </c>
      <c r="B693" s="16" t="s">
        <v>25</v>
      </c>
      <c r="C693" t="s">
        <v>18</v>
      </c>
      <c r="D693" t="str">
        <f t="shared" si="13"/>
        <v>JUPITER-Capricorn-Virgo</v>
      </c>
      <c r="E693" s="17" t="s">
        <v>109</v>
      </c>
      <c r="F693" s="18" t="s">
        <v>16</v>
      </c>
      <c r="G693" s="19" t="s">
        <v>25</v>
      </c>
      <c r="H693" s="20" t="s">
        <v>99</v>
      </c>
      <c r="I693" s="18" t="s">
        <v>14</v>
      </c>
      <c r="J693" t="s">
        <v>23</v>
      </c>
    </row>
    <row r="694" spans="1:10" x14ac:dyDescent="0.25">
      <c r="A694" t="s">
        <v>24</v>
      </c>
      <c r="B694" s="16" t="s">
        <v>25</v>
      </c>
      <c r="C694" t="s">
        <v>10</v>
      </c>
      <c r="D694" t="str">
        <f t="shared" si="13"/>
        <v>JUPITER-Capricorn-Libra</v>
      </c>
      <c r="E694" s="17" t="s">
        <v>99</v>
      </c>
      <c r="F694" s="18" t="s">
        <v>14</v>
      </c>
      <c r="G694" s="19" t="s">
        <v>25</v>
      </c>
      <c r="H694" s="20" t="s">
        <v>101</v>
      </c>
      <c r="I694" s="18" t="s">
        <v>12</v>
      </c>
      <c r="J694" t="s">
        <v>23</v>
      </c>
    </row>
    <row r="695" spans="1:10" x14ac:dyDescent="0.25">
      <c r="A695" t="s">
        <v>24</v>
      </c>
      <c r="B695" s="16" t="s">
        <v>25</v>
      </c>
      <c r="C695" t="s">
        <v>21</v>
      </c>
      <c r="D695" t="str">
        <f t="shared" si="13"/>
        <v>JUPITER-Capricorn-Scorpio</v>
      </c>
      <c r="E695" s="17" t="s">
        <v>101</v>
      </c>
      <c r="F695" s="18" t="s">
        <v>12</v>
      </c>
      <c r="G695" s="19" t="s">
        <v>25</v>
      </c>
      <c r="H695" s="20" t="s">
        <v>103</v>
      </c>
      <c r="I695" s="18" t="s">
        <v>9</v>
      </c>
      <c r="J695" t="s">
        <v>23</v>
      </c>
    </row>
    <row r="696" spans="1:10" x14ac:dyDescent="0.25">
      <c r="A696" t="s">
        <v>24</v>
      </c>
      <c r="B696" s="16" t="s">
        <v>25</v>
      </c>
      <c r="C696" t="s">
        <v>23</v>
      </c>
      <c r="D696" t="str">
        <f t="shared" si="13"/>
        <v>JUPITER-Capricorn-Sagittarius</v>
      </c>
      <c r="E696" s="17" t="s">
        <v>103</v>
      </c>
      <c r="F696" s="18" t="s">
        <v>9</v>
      </c>
      <c r="G696" s="19" t="s">
        <v>25</v>
      </c>
      <c r="H696" s="20" t="s">
        <v>98</v>
      </c>
      <c r="I696" s="18" t="s">
        <v>7</v>
      </c>
      <c r="J696" t="s">
        <v>23</v>
      </c>
    </row>
    <row r="697" spans="1:10" x14ac:dyDescent="0.25">
      <c r="A697" t="s">
        <v>24</v>
      </c>
      <c r="B697" s="16" t="s">
        <v>25</v>
      </c>
      <c r="C697" t="s">
        <v>25</v>
      </c>
      <c r="D697" t="str">
        <f t="shared" si="13"/>
        <v>JUPITER-Capricorn-Capricorn</v>
      </c>
      <c r="E697" s="17" t="s">
        <v>98</v>
      </c>
      <c r="F697" s="18" t="s">
        <v>7</v>
      </c>
      <c r="G697" s="19" t="s">
        <v>25</v>
      </c>
      <c r="H697" s="20" t="s">
        <v>100</v>
      </c>
      <c r="I697" s="18" t="s">
        <v>29</v>
      </c>
      <c r="J697" t="s">
        <v>23</v>
      </c>
    </row>
    <row r="698" spans="1:10" x14ac:dyDescent="0.25">
      <c r="A698" t="s">
        <v>24</v>
      </c>
      <c r="B698" s="16" t="s">
        <v>25</v>
      </c>
      <c r="C698" t="s">
        <v>27</v>
      </c>
      <c r="D698" t="str">
        <f t="shared" si="13"/>
        <v>JUPITER-Capricorn-Aquarius</v>
      </c>
      <c r="E698" s="17" t="s">
        <v>100</v>
      </c>
      <c r="F698" s="18" t="s">
        <v>29</v>
      </c>
      <c r="G698" s="19" t="s">
        <v>25</v>
      </c>
      <c r="H698" s="20" t="s">
        <v>102</v>
      </c>
      <c r="I698" s="18" t="s">
        <v>27</v>
      </c>
      <c r="J698" t="s">
        <v>23</v>
      </c>
    </row>
    <row r="699" spans="1:10" x14ac:dyDescent="0.25">
      <c r="A699" t="s">
        <v>24</v>
      </c>
      <c r="B699" s="16" t="s">
        <v>25</v>
      </c>
      <c r="C699" t="s">
        <v>29</v>
      </c>
      <c r="D699" t="str">
        <f t="shared" si="13"/>
        <v>JUPITER-Capricorn-Pisces</v>
      </c>
      <c r="E699" s="17" t="s">
        <v>102</v>
      </c>
      <c r="F699" s="18" t="s">
        <v>27</v>
      </c>
      <c r="G699" s="19" t="s">
        <v>25</v>
      </c>
      <c r="H699" s="20" t="s">
        <v>104</v>
      </c>
      <c r="I699" s="18" t="s">
        <v>25</v>
      </c>
      <c r="J699" t="s">
        <v>23</v>
      </c>
    </row>
    <row r="700" spans="1:10" x14ac:dyDescent="0.25">
      <c r="A700" t="s">
        <v>24</v>
      </c>
      <c r="B700" s="16" t="s">
        <v>27</v>
      </c>
      <c r="C700" t="s">
        <v>7</v>
      </c>
      <c r="D700" t="str">
        <f t="shared" si="13"/>
        <v>JUPITER-Aquarius-Aries</v>
      </c>
      <c r="E700" s="17" t="s">
        <v>102</v>
      </c>
      <c r="F700" s="18" t="s">
        <v>27</v>
      </c>
      <c r="G700" s="19" t="s">
        <v>27</v>
      </c>
      <c r="H700" s="20" t="s">
        <v>105</v>
      </c>
      <c r="I700" s="18" t="s">
        <v>23</v>
      </c>
      <c r="J700" t="s">
        <v>23</v>
      </c>
    </row>
    <row r="701" spans="1:10" x14ac:dyDescent="0.25">
      <c r="A701" t="s">
        <v>24</v>
      </c>
      <c r="B701" s="16" t="s">
        <v>27</v>
      </c>
      <c r="C701" t="s">
        <v>9</v>
      </c>
      <c r="D701" t="str">
        <f t="shared" si="13"/>
        <v>JUPITER-Aquarius-Taurus</v>
      </c>
      <c r="E701" s="17" t="s">
        <v>104</v>
      </c>
      <c r="F701" s="18" t="s">
        <v>25</v>
      </c>
      <c r="G701" s="19" t="s">
        <v>27</v>
      </c>
      <c r="H701" s="20" t="s">
        <v>106</v>
      </c>
      <c r="I701" s="18" t="s">
        <v>21</v>
      </c>
      <c r="J701" t="s">
        <v>23</v>
      </c>
    </row>
    <row r="702" spans="1:10" x14ac:dyDescent="0.25">
      <c r="A702" t="s">
        <v>24</v>
      </c>
      <c r="B702" s="16" t="s">
        <v>27</v>
      </c>
      <c r="C702" t="s">
        <v>12</v>
      </c>
      <c r="D702" t="str">
        <f t="shared" si="13"/>
        <v>JUPITER-Aquarius-Gemini</v>
      </c>
      <c r="E702" s="17" t="s">
        <v>105</v>
      </c>
      <c r="F702" s="18" t="s">
        <v>23</v>
      </c>
      <c r="G702" s="19" t="s">
        <v>27</v>
      </c>
      <c r="H702" s="20" t="s">
        <v>107</v>
      </c>
      <c r="I702" s="18" t="s">
        <v>10</v>
      </c>
      <c r="J702" t="s">
        <v>23</v>
      </c>
    </row>
    <row r="703" spans="1:10" x14ac:dyDescent="0.25">
      <c r="A703" t="s">
        <v>24</v>
      </c>
      <c r="B703" s="16" t="s">
        <v>27</v>
      </c>
      <c r="C703" t="s">
        <v>14</v>
      </c>
      <c r="D703" t="str">
        <f t="shared" si="13"/>
        <v>JUPITER-Aquarius-Cancer</v>
      </c>
      <c r="E703" s="17" t="s">
        <v>106</v>
      </c>
      <c r="F703" s="18" t="s">
        <v>21</v>
      </c>
      <c r="G703" s="19" t="s">
        <v>27</v>
      </c>
      <c r="H703" s="20" t="s">
        <v>108</v>
      </c>
      <c r="I703" s="18" t="s">
        <v>18</v>
      </c>
      <c r="J703" t="s">
        <v>23</v>
      </c>
    </row>
    <row r="704" spans="1:10" x14ac:dyDescent="0.25">
      <c r="A704" t="s">
        <v>24</v>
      </c>
      <c r="B704" s="16" t="s">
        <v>27</v>
      </c>
      <c r="C704" t="s">
        <v>16</v>
      </c>
      <c r="D704" t="str">
        <f t="shared" si="13"/>
        <v>JUPITER-Aquarius-Leo</v>
      </c>
      <c r="E704" s="17" t="s">
        <v>107</v>
      </c>
      <c r="F704" s="18" t="s">
        <v>10</v>
      </c>
      <c r="G704" s="19" t="s">
        <v>27</v>
      </c>
      <c r="H704" s="20" t="s">
        <v>109</v>
      </c>
      <c r="I704" s="18" t="s">
        <v>16</v>
      </c>
      <c r="J704" t="s">
        <v>23</v>
      </c>
    </row>
    <row r="705" spans="1:10" x14ac:dyDescent="0.25">
      <c r="A705" t="s">
        <v>24</v>
      </c>
      <c r="B705" s="16" t="s">
        <v>27</v>
      </c>
      <c r="C705" t="s">
        <v>18</v>
      </c>
      <c r="D705" t="str">
        <f t="shared" si="13"/>
        <v>JUPITER-Aquarius-Virgo</v>
      </c>
      <c r="E705" s="17" t="s">
        <v>108</v>
      </c>
      <c r="F705" s="18" t="s">
        <v>18</v>
      </c>
      <c r="G705" s="19" t="s">
        <v>27</v>
      </c>
      <c r="H705" s="20" t="s">
        <v>99</v>
      </c>
      <c r="I705" s="18" t="s">
        <v>14</v>
      </c>
      <c r="J705" t="s">
        <v>23</v>
      </c>
    </row>
    <row r="706" spans="1:10" x14ac:dyDescent="0.25">
      <c r="A706" t="s">
        <v>24</v>
      </c>
      <c r="B706" s="16" t="s">
        <v>27</v>
      </c>
      <c r="C706" t="s">
        <v>10</v>
      </c>
      <c r="D706" t="str">
        <f t="shared" si="13"/>
        <v>JUPITER-Aquarius-Libra</v>
      </c>
      <c r="E706" s="17" t="s">
        <v>109</v>
      </c>
      <c r="F706" s="18" t="s">
        <v>16</v>
      </c>
      <c r="G706" s="19" t="s">
        <v>27</v>
      </c>
      <c r="H706" s="20" t="s">
        <v>101</v>
      </c>
      <c r="I706" s="18" t="s">
        <v>12</v>
      </c>
      <c r="J706" t="s">
        <v>23</v>
      </c>
    </row>
    <row r="707" spans="1:10" x14ac:dyDescent="0.25">
      <c r="A707" t="s">
        <v>24</v>
      </c>
      <c r="B707" s="16" t="s">
        <v>27</v>
      </c>
      <c r="C707" t="s">
        <v>21</v>
      </c>
      <c r="D707" t="str">
        <f t="shared" si="13"/>
        <v>JUPITER-Aquarius-Scorpio</v>
      </c>
      <c r="E707" s="17" t="s">
        <v>99</v>
      </c>
      <c r="F707" s="18" t="s">
        <v>14</v>
      </c>
      <c r="G707" s="19" t="s">
        <v>27</v>
      </c>
      <c r="H707" s="20" t="s">
        <v>103</v>
      </c>
      <c r="I707" s="18" t="s">
        <v>9</v>
      </c>
      <c r="J707" t="s">
        <v>23</v>
      </c>
    </row>
    <row r="708" spans="1:10" x14ac:dyDescent="0.25">
      <c r="A708" t="s">
        <v>24</v>
      </c>
      <c r="B708" s="16" t="s">
        <v>27</v>
      </c>
      <c r="C708" t="s">
        <v>23</v>
      </c>
      <c r="D708" t="str">
        <f t="shared" si="13"/>
        <v>JUPITER-Aquarius-Sagittarius</v>
      </c>
      <c r="E708" s="17" t="s">
        <v>101</v>
      </c>
      <c r="F708" s="18" t="s">
        <v>12</v>
      </c>
      <c r="G708" s="19" t="s">
        <v>27</v>
      </c>
      <c r="H708" s="20" t="s">
        <v>98</v>
      </c>
      <c r="I708" s="18" t="s">
        <v>7</v>
      </c>
      <c r="J708" t="s">
        <v>23</v>
      </c>
    </row>
    <row r="709" spans="1:10" x14ac:dyDescent="0.25">
      <c r="A709" t="s">
        <v>24</v>
      </c>
      <c r="B709" s="16" t="s">
        <v>27</v>
      </c>
      <c r="C709" t="s">
        <v>25</v>
      </c>
      <c r="D709" t="str">
        <f t="shared" ref="D709:D723" si="14">A709&amp;"-"&amp;B709&amp;"-"&amp;C709</f>
        <v>JUPITER-Aquarius-Capricorn</v>
      </c>
      <c r="E709" s="17" t="s">
        <v>103</v>
      </c>
      <c r="F709" s="18" t="s">
        <v>9</v>
      </c>
      <c r="G709" s="19" t="s">
        <v>27</v>
      </c>
      <c r="H709" s="20" t="s">
        <v>100</v>
      </c>
      <c r="I709" s="18" t="s">
        <v>29</v>
      </c>
      <c r="J709" t="s">
        <v>23</v>
      </c>
    </row>
    <row r="710" spans="1:10" x14ac:dyDescent="0.25">
      <c r="A710" t="s">
        <v>24</v>
      </c>
      <c r="B710" s="16" t="s">
        <v>27</v>
      </c>
      <c r="C710" t="s">
        <v>27</v>
      </c>
      <c r="D710" t="str">
        <f t="shared" si="14"/>
        <v>JUPITER-Aquarius-Aquarius</v>
      </c>
      <c r="E710" s="17" t="s">
        <v>98</v>
      </c>
      <c r="F710" s="18" t="s">
        <v>7</v>
      </c>
      <c r="G710" s="19" t="s">
        <v>27</v>
      </c>
      <c r="H710" s="20" t="s">
        <v>102</v>
      </c>
      <c r="I710" s="18" t="s">
        <v>27</v>
      </c>
      <c r="J710" t="s">
        <v>23</v>
      </c>
    </row>
    <row r="711" spans="1:10" x14ac:dyDescent="0.25">
      <c r="A711" t="s">
        <v>24</v>
      </c>
      <c r="B711" s="16" t="s">
        <v>27</v>
      </c>
      <c r="C711" t="s">
        <v>29</v>
      </c>
      <c r="D711" t="str">
        <f t="shared" si="14"/>
        <v>JUPITER-Aquarius-Pisces</v>
      </c>
      <c r="E711" s="17" t="s">
        <v>100</v>
      </c>
      <c r="F711" s="18" t="s">
        <v>29</v>
      </c>
      <c r="G711" s="19" t="s">
        <v>27</v>
      </c>
      <c r="H711" s="20" t="s">
        <v>104</v>
      </c>
      <c r="I711" s="18" t="s">
        <v>25</v>
      </c>
      <c r="J711" t="s">
        <v>23</v>
      </c>
    </row>
    <row r="712" spans="1:10" x14ac:dyDescent="0.25">
      <c r="A712" t="s">
        <v>24</v>
      </c>
      <c r="B712" s="16" t="s">
        <v>29</v>
      </c>
      <c r="C712" t="s">
        <v>7</v>
      </c>
      <c r="D712" t="str">
        <f t="shared" si="14"/>
        <v>JUPITER-Pisces-Aries</v>
      </c>
      <c r="E712" s="17" t="s">
        <v>100</v>
      </c>
      <c r="F712" s="18" t="s">
        <v>29</v>
      </c>
      <c r="G712" s="19" t="s">
        <v>29</v>
      </c>
      <c r="H712" s="20" t="s">
        <v>105</v>
      </c>
      <c r="I712" s="18" t="s">
        <v>23</v>
      </c>
      <c r="J712" t="s">
        <v>23</v>
      </c>
    </row>
    <row r="713" spans="1:10" x14ac:dyDescent="0.25">
      <c r="A713" t="s">
        <v>24</v>
      </c>
      <c r="B713" s="16" t="s">
        <v>29</v>
      </c>
      <c r="C713" t="s">
        <v>9</v>
      </c>
      <c r="D713" t="str">
        <f t="shared" si="14"/>
        <v>JUPITER-Pisces-Taurus</v>
      </c>
      <c r="E713" s="17" t="s">
        <v>102</v>
      </c>
      <c r="F713" s="18" t="s">
        <v>27</v>
      </c>
      <c r="G713" s="19" t="s">
        <v>29</v>
      </c>
      <c r="H713" s="20" t="s">
        <v>106</v>
      </c>
      <c r="I713" s="18" t="s">
        <v>21</v>
      </c>
      <c r="J713" t="s">
        <v>23</v>
      </c>
    </row>
    <row r="714" spans="1:10" x14ac:dyDescent="0.25">
      <c r="A714" t="s">
        <v>24</v>
      </c>
      <c r="B714" s="16" t="s">
        <v>29</v>
      </c>
      <c r="C714" t="s">
        <v>12</v>
      </c>
      <c r="D714" t="str">
        <f t="shared" si="14"/>
        <v>JUPITER-Pisces-Gemini</v>
      </c>
      <c r="E714" s="17" t="s">
        <v>104</v>
      </c>
      <c r="F714" s="18" t="s">
        <v>25</v>
      </c>
      <c r="G714" s="19" t="s">
        <v>29</v>
      </c>
      <c r="H714" s="20" t="s">
        <v>107</v>
      </c>
      <c r="I714" s="18" t="s">
        <v>10</v>
      </c>
      <c r="J714" t="s">
        <v>23</v>
      </c>
    </row>
    <row r="715" spans="1:10" x14ac:dyDescent="0.25">
      <c r="A715" t="s">
        <v>24</v>
      </c>
      <c r="B715" s="16" t="s">
        <v>29</v>
      </c>
      <c r="C715" t="s">
        <v>14</v>
      </c>
      <c r="D715" t="str">
        <f t="shared" si="14"/>
        <v>JUPITER-Pisces-Cancer</v>
      </c>
      <c r="E715" s="17" t="s">
        <v>105</v>
      </c>
      <c r="F715" s="18" t="s">
        <v>23</v>
      </c>
      <c r="G715" s="19" t="s">
        <v>29</v>
      </c>
      <c r="H715" s="20" t="s">
        <v>108</v>
      </c>
      <c r="I715" s="18" t="s">
        <v>18</v>
      </c>
      <c r="J715" t="s">
        <v>23</v>
      </c>
    </row>
    <row r="716" spans="1:10" x14ac:dyDescent="0.25">
      <c r="A716" t="s">
        <v>24</v>
      </c>
      <c r="B716" s="16" t="s">
        <v>29</v>
      </c>
      <c r="C716" t="s">
        <v>16</v>
      </c>
      <c r="D716" t="str">
        <f t="shared" si="14"/>
        <v>JUPITER-Pisces-Leo</v>
      </c>
      <c r="E716" s="17" t="s">
        <v>106</v>
      </c>
      <c r="F716" s="18" t="s">
        <v>21</v>
      </c>
      <c r="G716" s="19" t="s">
        <v>29</v>
      </c>
      <c r="H716" s="20" t="s">
        <v>109</v>
      </c>
      <c r="I716" s="18" t="s">
        <v>16</v>
      </c>
      <c r="J716" t="s">
        <v>23</v>
      </c>
    </row>
    <row r="717" spans="1:10" x14ac:dyDescent="0.25">
      <c r="A717" t="s">
        <v>24</v>
      </c>
      <c r="B717" s="16" t="s">
        <v>29</v>
      </c>
      <c r="C717" t="s">
        <v>18</v>
      </c>
      <c r="D717" t="str">
        <f t="shared" si="14"/>
        <v>JUPITER-Pisces-Virgo</v>
      </c>
      <c r="E717" s="17" t="s">
        <v>107</v>
      </c>
      <c r="F717" s="18" t="s">
        <v>10</v>
      </c>
      <c r="G717" s="19" t="s">
        <v>29</v>
      </c>
      <c r="H717" s="20" t="s">
        <v>99</v>
      </c>
      <c r="I717" s="18" t="s">
        <v>14</v>
      </c>
      <c r="J717" t="s">
        <v>23</v>
      </c>
    </row>
    <row r="718" spans="1:10" x14ac:dyDescent="0.25">
      <c r="A718" t="s">
        <v>24</v>
      </c>
      <c r="B718" s="16" t="s">
        <v>29</v>
      </c>
      <c r="C718" t="s">
        <v>10</v>
      </c>
      <c r="D718" t="str">
        <f t="shared" si="14"/>
        <v>JUPITER-Pisces-Libra</v>
      </c>
      <c r="E718" s="17" t="s">
        <v>108</v>
      </c>
      <c r="F718" s="18" t="s">
        <v>18</v>
      </c>
      <c r="G718" s="19" t="s">
        <v>29</v>
      </c>
      <c r="H718" s="20" t="s">
        <v>101</v>
      </c>
      <c r="I718" s="18" t="s">
        <v>12</v>
      </c>
      <c r="J718" t="s">
        <v>23</v>
      </c>
    </row>
    <row r="719" spans="1:10" x14ac:dyDescent="0.25">
      <c r="A719" t="s">
        <v>24</v>
      </c>
      <c r="B719" s="16" t="s">
        <v>29</v>
      </c>
      <c r="C719" t="s">
        <v>21</v>
      </c>
      <c r="D719" t="str">
        <f t="shared" si="14"/>
        <v>JUPITER-Pisces-Scorpio</v>
      </c>
      <c r="E719" s="17" t="s">
        <v>109</v>
      </c>
      <c r="F719" s="18" t="s">
        <v>16</v>
      </c>
      <c r="G719" s="19" t="s">
        <v>29</v>
      </c>
      <c r="H719" s="20" t="s">
        <v>103</v>
      </c>
      <c r="I719" s="18" t="s">
        <v>9</v>
      </c>
      <c r="J719" t="s">
        <v>23</v>
      </c>
    </row>
    <row r="720" spans="1:10" x14ac:dyDescent="0.25">
      <c r="A720" t="s">
        <v>24</v>
      </c>
      <c r="B720" s="16" t="s">
        <v>29</v>
      </c>
      <c r="C720" t="s">
        <v>23</v>
      </c>
      <c r="D720" t="str">
        <f t="shared" si="14"/>
        <v>JUPITER-Pisces-Sagittarius</v>
      </c>
      <c r="E720" s="17" t="s">
        <v>99</v>
      </c>
      <c r="F720" s="18" t="s">
        <v>14</v>
      </c>
      <c r="G720" s="19" t="s">
        <v>29</v>
      </c>
      <c r="H720" s="20" t="s">
        <v>98</v>
      </c>
      <c r="I720" s="18" t="s">
        <v>7</v>
      </c>
      <c r="J720" t="s">
        <v>23</v>
      </c>
    </row>
    <row r="721" spans="1:13" x14ac:dyDescent="0.25">
      <c r="A721" t="s">
        <v>24</v>
      </c>
      <c r="B721" s="16" t="s">
        <v>29</v>
      </c>
      <c r="C721" t="s">
        <v>25</v>
      </c>
      <c r="D721" t="str">
        <f t="shared" si="14"/>
        <v>JUPITER-Pisces-Capricorn</v>
      </c>
      <c r="E721" s="17" t="s">
        <v>101</v>
      </c>
      <c r="F721" s="18" t="s">
        <v>12</v>
      </c>
      <c r="G721" s="19" t="s">
        <v>29</v>
      </c>
      <c r="H721" s="20" t="s">
        <v>100</v>
      </c>
      <c r="I721" s="18" t="s">
        <v>29</v>
      </c>
      <c r="J721" t="s">
        <v>23</v>
      </c>
    </row>
    <row r="722" spans="1:13" x14ac:dyDescent="0.25">
      <c r="A722" t="s">
        <v>24</v>
      </c>
      <c r="B722" s="16" t="s">
        <v>29</v>
      </c>
      <c r="C722" t="s">
        <v>27</v>
      </c>
      <c r="D722" t="str">
        <f t="shared" si="14"/>
        <v>JUPITER-Pisces-Aquarius</v>
      </c>
      <c r="E722" s="17" t="s">
        <v>103</v>
      </c>
      <c r="F722" s="18" t="s">
        <v>9</v>
      </c>
      <c r="G722" s="19" t="s">
        <v>29</v>
      </c>
      <c r="H722" s="20" t="s">
        <v>102</v>
      </c>
      <c r="I722" s="18" t="s">
        <v>27</v>
      </c>
      <c r="J722" t="s">
        <v>23</v>
      </c>
    </row>
    <row r="723" spans="1:13" x14ac:dyDescent="0.25">
      <c r="A723" t="s">
        <v>24</v>
      </c>
      <c r="B723" s="16" t="s">
        <v>29</v>
      </c>
      <c r="C723" t="s">
        <v>29</v>
      </c>
      <c r="D723" t="str">
        <f t="shared" si="14"/>
        <v>JUPITER-Pisces-Pisces</v>
      </c>
      <c r="E723" s="17" t="s">
        <v>98</v>
      </c>
      <c r="F723" s="18" t="s">
        <v>7</v>
      </c>
      <c r="G723" s="19" t="s">
        <v>29</v>
      </c>
      <c r="H723" s="20" t="s">
        <v>104</v>
      </c>
      <c r="I723" s="18" t="s">
        <v>25</v>
      </c>
      <c r="J723" t="s">
        <v>23</v>
      </c>
    </row>
    <row r="724" spans="1:13" x14ac:dyDescent="0.25">
      <c r="A724" t="s">
        <v>26</v>
      </c>
      <c r="B724" s="16" t="s">
        <v>7</v>
      </c>
      <c r="C724" t="s">
        <v>7</v>
      </c>
      <c r="D724" t="str">
        <f>A724&amp;"-"&amp;B724&amp;"-"&amp;C724</f>
        <v>SATURN-Aries-Aries</v>
      </c>
      <c r="E724" s="17" t="s">
        <v>98</v>
      </c>
      <c r="F724" s="18" t="s">
        <v>7</v>
      </c>
      <c r="G724" s="19" t="s">
        <v>7</v>
      </c>
      <c r="H724" s="20" t="s">
        <v>104</v>
      </c>
      <c r="I724" s="18" t="s">
        <v>25</v>
      </c>
      <c r="J724" s="21" t="s">
        <v>25</v>
      </c>
      <c r="K724" s="21"/>
      <c r="L724" s="21"/>
      <c r="M724" s="21"/>
    </row>
    <row r="725" spans="1:13" x14ac:dyDescent="0.25">
      <c r="A725" t="s">
        <v>26</v>
      </c>
      <c r="B725" s="16" t="s">
        <v>7</v>
      </c>
      <c r="C725" t="s">
        <v>9</v>
      </c>
      <c r="D725" t="str">
        <f t="shared" ref="D725:D788" si="15">A725&amp;"-"&amp;B725&amp;"-"&amp;C725</f>
        <v>SATURN-Aries-Taurus</v>
      </c>
      <c r="E725" s="17" t="s">
        <v>100</v>
      </c>
      <c r="F725" s="18" t="s">
        <v>29</v>
      </c>
      <c r="G725" s="19" t="s">
        <v>7</v>
      </c>
      <c r="H725" s="20" t="s">
        <v>105</v>
      </c>
      <c r="I725" s="18" t="s">
        <v>23</v>
      </c>
      <c r="J725" s="21" t="s">
        <v>25</v>
      </c>
      <c r="K725" s="21"/>
      <c r="L725" s="21"/>
      <c r="M725" s="21"/>
    </row>
    <row r="726" spans="1:13" x14ac:dyDescent="0.25">
      <c r="A726" t="s">
        <v>26</v>
      </c>
      <c r="B726" s="16" t="s">
        <v>7</v>
      </c>
      <c r="C726" t="s">
        <v>12</v>
      </c>
      <c r="D726" t="str">
        <f t="shared" si="15"/>
        <v>SATURN-Aries-Gemini</v>
      </c>
      <c r="E726" s="17" t="s">
        <v>102</v>
      </c>
      <c r="F726" s="18" t="s">
        <v>27</v>
      </c>
      <c r="G726" s="19" t="s">
        <v>7</v>
      </c>
      <c r="H726" s="20" t="s">
        <v>106</v>
      </c>
      <c r="I726" s="18" t="s">
        <v>21</v>
      </c>
      <c r="J726" s="21" t="s">
        <v>25</v>
      </c>
      <c r="K726" s="21"/>
      <c r="L726" s="21"/>
      <c r="M726" s="21"/>
    </row>
    <row r="727" spans="1:13" x14ac:dyDescent="0.25">
      <c r="A727" t="s">
        <v>26</v>
      </c>
      <c r="B727" s="16" t="s">
        <v>7</v>
      </c>
      <c r="C727" t="s">
        <v>14</v>
      </c>
      <c r="D727" t="str">
        <f t="shared" si="15"/>
        <v>SATURN-Aries-Cancer</v>
      </c>
      <c r="E727" s="17" t="s">
        <v>104</v>
      </c>
      <c r="F727" s="18" t="s">
        <v>25</v>
      </c>
      <c r="G727" s="19" t="s">
        <v>7</v>
      </c>
      <c r="H727" s="20" t="s">
        <v>107</v>
      </c>
      <c r="I727" s="18" t="s">
        <v>10</v>
      </c>
      <c r="J727" s="21" t="s">
        <v>25</v>
      </c>
      <c r="K727" s="21"/>
      <c r="L727" s="21"/>
      <c r="M727" s="21"/>
    </row>
    <row r="728" spans="1:13" x14ac:dyDescent="0.25">
      <c r="A728" t="s">
        <v>26</v>
      </c>
      <c r="B728" s="16" t="s">
        <v>7</v>
      </c>
      <c r="C728" t="s">
        <v>16</v>
      </c>
      <c r="D728" t="str">
        <f t="shared" si="15"/>
        <v>SATURN-Aries-Leo</v>
      </c>
      <c r="E728" s="17" t="s">
        <v>105</v>
      </c>
      <c r="F728" s="18" t="s">
        <v>23</v>
      </c>
      <c r="G728" s="19" t="s">
        <v>7</v>
      </c>
      <c r="H728" s="20" t="s">
        <v>108</v>
      </c>
      <c r="I728" s="18" t="s">
        <v>18</v>
      </c>
      <c r="J728" s="21" t="s">
        <v>25</v>
      </c>
      <c r="K728" s="21"/>
      <c r="L728" s="21"/>
      <c r="M728" s="21"/>
    </row>
    <row r="729" spans="1:13" x14ac:dyDescent="0.25">
      <c r="A729" t="s">
        <v>26</v>
      </c>
      <c r="B729" s="16" t="s">
        <v>7</v>
      </c>
      <c r="C729" t="s">
        <v>18</v>
      </c>
      <c r="D729" t="str">
        <f t="shared" si="15"/>
        <v>SATURN-Aries-Virgo</v>
      </c>
      <c r="E729" s="17" t="s">
        <v>106</v>
      </c>
      <c r="F729" s="18" t="s">
        <v>21</v>
      </c>
      <c r="G729" s="19" t="s">
        <v>7</v>
      </c>
      <c r="H729" s="20" t="s">
        <v>109</v>
      </c>
      <c r="I729" s="18" t="s">
        <v>16</v>
      </c>
      <c r="J729" s="21" t="s">
        <v>25</v>
      </c>
      <c r="K729" s="21"/>
      <c r="L729" s="21"/>
      <c r="M729" s="21"/>
    </row>
    <row r="730" spans="1:13" x14ac:dyDescent="0.25">
      <c r="A730" t="s">
        <v>26</v>
      </c>
      <c r="B730" s="16" t="s">
        <v>7</v>
      </c>
      <c r="C730" t="s">
        <v>10</v>
      </c>
      <c r="D730" t="str">
        <f t="shared" si="15"/>
        <v>SATURN-Aries-Libra</v>
      </c>
      <c r="E730" s="17" t="s">
        <v>107</v>
      </c>
      <c r="F730" s="18" t="s">
        <v>10</v>
      </c>
      <c r="G730" s="19" t="s">
        <v>7</v>
      </c>
      <c r="H730" s="20" t="s">
        <v>99</v>
      </c>
      <c r="I730" s="18" t="s">
        <v>14</v>
      </c>
      <c r="J730" s="21" t="s">
        <v>25</v>
      </c>
      <c r="K730" s="21"/>
      <c r="L730" s="21"/>
      <c r="M730" s="21"/>
    </row>
    <row r="731" spans="1:13" x14ac:dyDescent="0.25">
      <c r="A731" t="s">
        <v>26</v>
      </c>
      <c r="B731" s="16" t="s">
        <v>7</v>
      </c>
      <c r="C731" t="s">
        <v>21</v>
      </c>
      <c r="D731" t="str">
        <f t="shared" si="15"/>
        <v>SATURN-Aries-Scorpio</v>
      </c>
      <c r="E731" s="17" t="s">
        <v>108</v>
      </c>
      <c r="F731" s="18" t="s">
        <v>18</v>
      </c>
      <c r="G731" s="19" t="s">
        <v>7</v>
      </c>
      <c r="H731" s="20" t="s">
        <v>101</v>
      </c>
      <c r="I731" s="18" t="s">
        <v>12</v>
      </c>
      <c r="J731" s="21" t="s">
        <v>25</v>
      </c>
      <c r="K731" s="21"/>
      <c r="L731" s="21"/>
      <c r="M731" s="21"/>
    </row>
    <row r="732" spans="1:13" x14ac:dyDescent="0.25">
      <c r="A732" t="s">
        <v>26</v>
      </c>
      <c r="B732" s="16" t="s">
        <v>7</v>
      </c>
      <c r="C732" t="s">
        <v>23</v>
      </c>
      <c r="D732" t="str">
        <f t="shared" si="15"/>
        <v>SATURN-Aries-Sagittarius</v>
      </c>
      <c r="E732" s="17" t="s">
        <v>109</v>
      </c>
      <c r="F732" s="18" t="s">
        <v>16</v>
      </c>
      <c r="G732" s="19" t="s">
        <v>7</v>
      </c>
      <c r="H732" s="20" t="s">
        <v>103</v>
      </c>
      <c r="I732" s="18" t="s">
        <v>9</v>
      </c>
      <c r="J732" s="21" t="s">
        <v>25</v>
      </c>
      <c r="K732" s="21"/>
      <c r="L732" s="21"/>
      <c r="M732" s="21"/>
    </row>
    <row r="733" spans="1:13" x14ac:dyDescent="0.25">
      <c r="A733" t="s">
        <v>26</v>
      </c>
      <c r="B733" s="16" t="s">
        <v>7</v>
      </c>
      <c r="C733" t="s">
        <v>25</v>
      </c>
      <c r="D733" t="str">
        <f t="shared" si="15"/>
        <v>SATURN-Aries-Capricorn</v>
      </c>
      <c r="E733" s="17" t="s">
        <v>99</v>
      </c>
      <c r="F733" s="18" t="s">
        <v>14</v>
      </c>
      <c r="G733" s="19" t="s">
        <v>7</v>
      </c>
      <c r="H733" s="20" t="s">
        <v>98</v>
      </c>
      <c r="I733" s="18" t="s">
        <v>7</v>
      </c>
      <c r="J733" s="21" t="s">
        <v>25</v>
      </c>
      <c r="K733" s="21"/>
      <c r="L733" s="21"/>
      <c r="M733" s="21"/>
    </row>
    <row r="734" spans="1:13" x14ac:dyDescent="0.25">
      <c r="A734" t="s">
        <v>26</v>
      </c>
      <c r="B734" s="16" t="s">
        <v>7</v>
      </c>
      <c r="C734" t="s">
        <v>27</v>
      </c>
      <c r="D734" t="str">
        <f t="shared" si="15"/>
        <v>SATURN-Aries-Aquarius</v>
      </c>
      <c r="E734" s="17" t="s">
        <v>101</v>
      </c>
      <c r="F734" s="18" t="s">
        <v>12</v>
      </c>
      <c r="G734" s="19" t="s">
        <v>7</v>
      </c>
      <c r="H734" s="20" t="s">
        <v>100</v>
      </c>
      <c r="I734" s="18" t="s">
        <v>29</v>
      </c>
      <c r="J734" s="21" t="s">
        <v>25</v>
      </c>
      <c r="K734" s="21"/>
      <c r="L734" s="21"/>
      <c r="M734" s="21"/>
    </row>
    <row r="735" spans="1:13" x14ac:dyDescent="0.25">
      <c r="A735" t="s">
        <v>26</v>
      </c>
      <c r="B735" s="16" t="s">
        <v>7</v>
      </c>
      <c r="C735" t="s">
        <v>29</v>
      </c>
      <c r="D735" t="str">
        <f t="shared" si="15"/>
        <v>SATURN-Aries-Pisces</v>
      </c>
      <c r="E735" s="17" t="s">
        <v>103</v>
      </c>
      <c r="F735" s="18" t="s">
        <v>9</v>
      </c>
      <c r="G735" s="19" t="s">
        <v>7</v>
      </c>
      <c r="H735" s="20" t="s">
        <v>102</v>
      </c>
      <c r="I735" s="18" t="s">
        <v>27</v>
      </c>
      <c r="J735" s="21" t="s">
        <v>25</v>
      </c>
      <c r="K735" s="21"/>
      <c r="L735" s="21"/>
      <c r="M735" s="21"/>
    </row>
    <row r="736" spans="1:13" x14ac:dyDescent="0.25">
      <c r="A736" t="s">
        <v>26</v>
      </c>
      <c r="B736" s="16" t="s">
        <v>9</v>
      </c>
      <c r="C736" t="s">
        <v>7</v>
      </c>
      <c r="D736" t="str">
        <f t="shared" si="15"/>
        <v>SATURN-Taurus-Aries</v>
      </c>
      <c r="E736" s="17" t="s">
        <v>103</v>
      </c>
      <c r="F736" s="18" t="s">
        <v>9</v>
      </c>
      <c r="G736" s="19" t="s">
        <v>9</v>
      </c>
      <c r="H736" s="20" t="s">
        <v>104</v>
      </c>
      <c r="I736" s="18" t="s">
        <v>25</v>
      </c>
      <c r="J736" s="21" t="s">
        <v>25</v>
      </c>
      <c r="K736" s="21"/>
      <c r="L736" s="21"/>
      <c r="M736" s="21"/>
    </row>
    <row r="737" spans="1:13" x14ac:dyDescent="0.25">
      <c r="A737" t="s">
        <v>26</v>
      </c>
      <c r="B737" s="16" t="s">
        <v>9</v>
      </c>
      <c r="C737" t="s">
        <v>9</v>
      </c>
      <c r="D737" t="str">
        <f t="shared" si="15"/>
        <v>SATURN-Taurus-Taurus</v>
      </c>
      <c r="E737" s="17" t="s">
        <v>98</v>
      </c>
      <c r="F737" s="18" t="s">
        <v>7</v>
      </c>
      <c r="G737" s="19" t="s">
        <v>9</v>
      </c>
      <c r="H737" s="20" t="s">
        <v>105</v>
      </c>
      <c r="I737" s="18" t="s">
        <v>23</v>
      </c>
      <c r="J737" s="21" t="s">
        <v>25</v>
      </c>
      <c r="K737" s="21"/>
      <c r="L737" s="21"/>
      <c r="M737" s="21"/>
    </row>
    <row r="738" spans="1:13" x14ac:dyDescent="0.25">
      <c r="A738" t="s">
        <v>26</v>
      </c>
      <c r="B738" s="16" t="s">
        <v>9</v>
      </c>
      <c r="C738" t="s">
        <v>12</v>
      </c>
      <c r="D738" t="str">
        <f t="shared" si="15"/>
        <v>SATURN-Taurus-Gemini</v>
      </c>
      <c r="E738" s="17" t="s">
        <v>100</v>
      </c>
      <c r="F738" s="18" t="s">
        <v>29</v>
      </c>
      <c r="G738" s="19" t="s">
        <v>9</v>
      </c>
      <c r="H738" s="20" t="s">
        <v>106</v>
      </c>
      <c r="I738" s="18" t="s">
        <v>21</v>
      </c>
      <c r="J738" s="21" t="s">
        <v>25</v>
      </c>
      <c r="K738" s="21"/>
      <c r="L738" s="21"/>
      <c r="M738" s="21"/>
    </row>
    <row r="739" spans="1:13" x14ac:dyDescent="0.25">
      <c r="A739" t="s">
        <v>26</v>
      </c>
      <c r="B739" s="16" t="s">
        <v>9</v>
      </c>
      <c r="C739" t="s">
        <v>14</v>
      </c>
      <c r="D739" t="str">
        <f t="shared" si="15"/>
        <v>SATURN-Taurus-Cancer</v>
      </c>
      <c r="E739" s="17" t="s">
        <v>102</v>
      </c>
      <c r="F739" s="18" t="s">
        <v>27</v>
      </c>
      <c r="G739" s="19" t="s">
        <v>9</v>
      </c>
      <c r="H739" s="20" t="s">
        <v>107</v>
      </c>
      <c r="I739" s="18" t="s">
        <v>10</v>
      </c>
      <c r="J739" s="21" t="s">
        <v>25</v>
      </c>
      <c r="K739" s="21"/>
      <c r="L739" s="21"/>
      <c r="M739" s="21"/>
    </row>
    <row r="740" spans="1:13" x14ac:dyDescent="0.25">
      <c r="A740" t="s">
        <v>26</v>
      </c>
      <c r="B740" s="16" t="s">
        <v>9</v>
      </c>
      <c r="C740" t="s">
        <v>16</v>
      </c>
      <c r="D740" t="str">
        <f t="shared" si="15"/>
        <v>SATURN-Taurus-Leo</v>
      </c>
      <c r="E740" s="17" t="s">
        <v>104</v>
      </c>
      <c r="F740" s="18" t="s">
        <v>25</v>
      </c>
      <c r="G740" s="19" t="s">
        <v>9</v>
      </c>
      <c r="H740" s="20" t="s">
        <v>108</v>
      </c>
      <c r="I740" s="18" t="s">
        <v>18</v>
      </c>
      <c r="J740" s="21" t="s">
        <v>25</v>
      </c>
      <c r="K740" s="21"/>
      <c r="L740" s="21"/>
      <c r="M740" s="21"/>
    </row>
    <row r="741" spans="1:13" x14ac:dyDescent="0.25">
      <c r="A741" t="s">
        <v>26</v>
      </c>
      <c r="B741" s="16" t="s">
        <v>9</v>
      </c>
      <c r="C741" t="s">
        <v>18</v>
      </c>
      <c r="D741" t="str">
        <f t="shared" si="15"/>
        <v>SATURN-Taurus-Virgo</v>
      </c>
      <c r="E741" s="17" t="s">
        <v>105</v>
      </c>
      <c r="F741" s="18" t="s">
        <v>23</v>
      </c>
      <c r="G741" s="19" t="s">
        <v>9</v>
      </c>
      <c r="H741" s="20" t="s">
        <v>109</v>
      </c>
      <c r="I741" s="18" t="s">
        <v>16</v>
      </c>
      <c r="J741" s="21" t="s">
        <v>25</v>
      </c>
      <c r="K741" s="21"/>
      <c r="L741" s="21"/>
      <c r="M741" s="21"/>
    </row>
    <row r="742" spans="1:13" x14ac:dyDescent="0.25">
      <c r="A742" t="s">
        <v>26</v>
      </c>
      <c r="B742" s="16" t="s">
        <v>9</v>
      </c>
      <c r="C742" t="s">
        <v>10</v>
      </c>
      <c r="D742" t="str">
        <f t="shared" si="15"/>
        <v>SATURN-Taurus-Libra</v>
      </c>
      <c r="E742" s="17" t="s">
        <v>106</v>
      </c>
      <c r="F742" s="18" t="s">
        <v>21</v>
      </c>
      <c r="G742" s="19" t="s">
        <v>9</v>
      </c>
      <c r="H742" s="20" t="s">
        <v>99</v>
      </c>
      <c r="I742" s="18" t="s">
        <v>14</v>
      </c>
      <c r="J742" s="21" t="s">
        <v>25</v>
      </c>
      <c r="K742" s="21"/>
      <c r="L742" s="21"/>
      <c r="M742" s="21"/>
    </row>
    <row r="743" spans="1:13" x14ac:dyDescent="0.25">
      <c r="A743" t="s">
        <v>26</v>
      </c>
      <c r="B743" s="16" t="s">
        <v>9</v>
      </c>
      <c r="C743" t="s">
        <v>21</v>
      </c>
      <c r="D743" t="str">
        <f t="shared" si="15"/>
        <v>SATURN-Taurus-Scorpio</v>
      </c>
      <c r="E743" s="17" t="s">
        <v>107</v>
      </c>
      <c r="F743" s="18" t="s">
        <v>10</v>
      </c>
      <c r="G743" s="19" t="s">
        <v>9</v>
      </c>
      <c r="H743" s="20" t="s">
        <v>101</v>
      </c>
      <c r="I743" s="18" t="s">
        <v>12</v>
      </c>
      <c r="J743" s="21" t="s">
        <v>25</v>
      </c>
      <c r="K743" s="21"/>
      <c r="L743" s="21"/>
      <c r="M743" s="21"/>
    </row>
    <row r="744" spans="1:13" x14ac:dyDescent="0.25">
      <c r="A744" t="s">
        <v>26</v>
      </c>
      <c r="B744" s="16" t="s">
        <v>9</v>
      </c>
      <c r="C744" t="s">
        <v>23</v>
      </c>
      <c r="D744" t="str">
        <f t="shared" si="15"/>
        <v>SATURN-Taurus-Sagittarius</v>
      </c>
      <c r="E744" s="17" t="s">
        <v>108</v>
      </c>
      <c r="F744" s="18" t="s">
        <v>18</v>
      </c>
      <c r="G744" s="19" t="s">
        <v>9</v>
      </c>
      <c r="H744" s="20" t="s">
        <v>103</v>
      </c>
      <c r="I744" s="18" t="s">
        <v>9</v>
      </c>
      <c r="J744" s="21" t="s">
        <v>25</v>
      </c>
      <c r="K744" s="21"/>
      <c r="L744" s="21"/>
      <c r="M744" s="21"/>
    </row>
    <row r="745" spans="1:13" x14ac:dyDescent="0.25">
      <c r="A745" t="s">
        <v>26</v>
      </c>
      <c r="B745" s="16" t="s">
        <v>9</v>
      </c>
      <c r="C745" t="s">
        <v>25</v>
      </c>
      <c r="D745" t="str">
        <f t="shared" si="15"/>
        <v>SATURN-Taurus-Capricorn</v>
      </c>
      <c r="E745" s="17" t="s">
        <v>109</v>
      </c>
      <c r="F745" s="18" t="s">
        <v>16</v>
      </c>
      <c r="G745" s="19" t="s">
        <v>9</v>
      </c>
      <c r="H745" s="20" t="s">
        <v>98</v>
      </c>
      <c r="I745" s="18" t="s">
        <v>7</v>
      </c>
      <c r="J745" s="21" t="s">
        <v>25</v>
      </c>
      <c r="K745" s="21"/>
      <c r="L745" s="21"/>
      <c r="M745" s="21"/>
    </row>
    <row r="746" spans="1:13" x14ac:dyDescent="0.25">
      <c r="A746" t="s">
        <v>26</v>
      </c>
      <c r="B746" s="16" t="s">
        <v>9</v>
      </c>
      <c r="C746" t="s">
        <v>27</v>
      </c>
      <c r="D746" t="str">
        <f t="shared" si="15"/>
        <v>SATURN-Taurus-Aquarius</v>
      </c>
      <c r="E746" s="17" t="s">
        <v>99</v>
      </c>
      <c r="F746" s="18" t="s">
        <v>14</v>
      </c>
      <c r="G746" s="19" t="s">
        <v>9</v>
      </c>
      <c r="H746" s="20" t="s">
        <v>100</v>
      </c>
      <c r="I746" s="18" t="s">
        <v>29</v>
      </c>
      <c r="J746" s="21" t="s">
        <v>25</v>
      </c>
      <c r="K746" s="21"/>
      <c r="L746" s="21"/>
      <c r="M746" s="21"/>
    </row>
    <row r="747" spans="1:13" x14ac:dyDescent="0.25">
      <c r="A747" t="s">
        <v>26</v>
      </c>
      <c r="B747" s="16" t="s">
        <v>9</v>
      </c>
      <c r="C747" t="s">
        <v>29</v>
      </c>
      <c r="D747" t="str">
        <f t="shared" si="15"/>
        <v>SATURN-Taurus-Pisces</v>
      </c>
      <c r="E747" s="17" t="s">
        <v>101</v>
      </c>
      <c r="F747" s="18" t="s">
        <v>12</v>
      </c>
      <c r="G747" s="19" t="s">
        <v>9</v>
      </c>
      <c r="H747" s="20" t="s">
        <v>102</v>
      </c>
      <c r="I747" s="18" t="s">
        <v>27</v>
      </c>
      <c r="J747" s="21" t="s">
        <v>25</v>
      </c>
      <c r="K747" s="21"/>
      <c r="L747" s="21"/>
      <c r="M747" s="21"/>
    </row>
    <row r="748" spans="1:13" x14ac:dyDescent="0.25">
      <c r="A748" t="s">
        <v>26</v>
      </c>
      <c r="B748" s="16" t="s">
        <v>12</v>
      </c>
      <c r="C748" t="s">
        <v>7</v>
      </c>
      <c r="D748" t="str">
        <f t="shared" si="15"/>
        <v>SATURN-Gemini-Aries</v>
      </c>
      <c r="E748" s="17" t="s">
        <v>101</v>
      </c>
      <c r="F748" s="18" t="s">
        <v>12</v>
      </c>
      <c r="G748" s="19" t="s">
        <v>12</v>
      </c>
      <c r="H748" s="20" t="s">
        <v>104</v>
      </c>
      <c r="I748" s="18" t="s">
        <v>25</v>
      </c>
      <c r="J748" s="21" t="s">
        <v>25</v>
      </c>
      <c r="K748" s="21"/>
      <c r="L748" s="21"/>
      <c r="M748" s="21"/>
    </row>
    <row r="749" spans="1:13" x14ac:dyDescent="0.25">
      <c r="A749" t="s">
        <v>26</v>
      </c>
      <c r="B749" s="16" t="s">
        <v>12</v>
      </c>
      <c r="C749" t="s">
        <v>9</v>
      </c>
      <c r="D749" t="str">
        <f t="shared" si="15"/>
        <v>SATURN-Gemini-Taurus</v>
      </c>
      <c r="E749" s="17" t="s">
        <v>103</v>
      </c>
      <c r="F749" s="18" t="s">
        <v>9</v>
      </c>
      <c r="G749" s="19" t="s">
        <v>12</v>
      </c>
      <c r="H749" s="20" t="s">
        <v>105</v>
      </c>
      <c r="I749" s="18" t="s">
        <v>23</v>
      </c>
      <c r="J749" s="21" t="s">
        <v>25</v>
      </c>
      <c r="K749" s="21"/>
      <c r="L749" s="21"/>
      <c r="M749" s="21"/>
    </row>
    <row r="750" spans="1:13" x14ac:dyDescent="0.25">
      <c r="A750" t="s">
        <v>26</v>
      </c>
      <c r="B750" s="16" t="s">
        <v>12</v>
      </c>
      <c r="C750" t="s">
        <v>12</v>
      </c>
      <c r="D750" t="str">
        <f t="shared" si="15"/>
        <v>SATURN-Gemini-Gemini</v>
      </c>
      <c r="E750" s="17" t="s">
        <v>98</v>
      </c>
      <c r="F750" s="18" t="s">
        <v>7</v>
      </c>
      <c r="G750" s="19" t="s">
        <v>12</v>
      </c>
      <c r="H750" s="20" t="s">
        <v>106</v>
      </c>
      <c r="I750" s="18" t="s">
        <v>21</v>
      </c>
      <c r="J750" s="21" t="s">
        <v>25</v>
      </c>
      <c r="K750" s="21"/>
      <c r="L750" s="21"/>
      <c r="M750" s="21"/>
    </row>
    <row r="751" spans="1:13" x14ac:dyDescent="0.25">
      <c r="A751" t="s">
        <v>26</v>
      </c>
      <c r="B751" s="16" t="s">
        <v>12</v>
      </c>
      <c r="C751" t="s">
        <v>14</v>
      </c>
      <c r="D751" t="str">
        <f t="shared" si="15"/>
        <v>SATURN-Gemini-Cancer</v>
      </c>
      <c r="E751" s="17" t="s">
        <v>100</v>
      </c>
      <c r="F751" s="18" t="s">
        <v>29</v>
      </c>
      <c r="G751" s="19" t="s">
        <v>12</v>
      </c>
      <c r="H751" s="20" t="s">
        <v>107</v>
      </c>
      <c r="I751" s="18" t="s">
        <v>10</v>
      </c>
      <c r="J751" s="21" t="s">
        <v>25</v>
      </c>
      <c r="K751" s="21"/>
      <c r="L751" s="21"/>
      <c r="M751" s="21"/>
    </row>
    <row r="752" spans="1:13" x14ac:dyDescent="0.25">
      <c r="A752" t="s">
        <v>26</v>
      </c>
      <c r="B752" s="16" t="s">
        <v>12</v>
      </c>
      <c r="C752" t="s">
        <v>16</v>
      </c>
      <c r="D752" t="str">
        <f t="shared" si="15"/>
        <v>SATURN-Gemini-Leo</v>
      </c>
      <c r="E752" s="17" t="s">
        <v>102</v>
      </c>
      <c r="F752" s="18" t="s">
        <v>27</v>
      </c>
      <c r="G752" s="19" t="s">
        <v>12</v>
      </c>
      <c r="H752" s="20" t="s">
        <v>108</v>
      </c>
      <c r="I752" s="18" t="s">
        <v>18</v>
      </c>
      <c r="J752" s="21" t="s">
        <v>25</v>
      </c>
      <c r="K752" s="21"/>
      <c r="L752" s="21"/>
      <c r="M752" s="21"/>
    </row>
    <row r="753" spans="1:13" x14ac:dyDescent="0.25">
      <c r="A753" t="s">
        <v>26</v>
      </c>
      <c r="B753" s="16" t="s">
        <v>12</v>
      </c>
      <c r="C753" t="s">
        <v>18</v>
      </c>
      <c r="D753" t="str">
        <f t="shared" si="15"/>
        <v>SATURN-Gemini-Virgo</v>
      </c>
      <c r="E753" s="17" t="s">
        <v>104</v>
      </c>
      <c r="F753" s="18" t="s">
        <v>25</v>
      </c>
      <c r="G753" s="19" t="s">
        <v>12</v>
      </c>
      <c r="H753" s="20" t="s">
        <v>109</v>
      </c>
      <c r="I753" s="18" t="s">
        <v>16</v>
      </c>
      <c r="J753" s="21" t="s">
        <v>25</v>
      </c>
      <c r="K753" s="21"/>
      <c r="L753" s="21"/>
      <c r="M753" s="21"/>
    </row>
    <row r="754" spans="1:13" x14ac:dyDescent="0.25">
      <c r="A754" t="s">
        <v>26</v>
      </c>
      <c r="B754" s="16" t="s">
        <v>12</v>
      </c>
      <c r="C754" t="s">
        <v>10</v>
      </c>
      <c r="D754" t="str">
        <f t="shared" si="15"/>
        <v>SATURN-Gemini-Libra</v>
      </c>
      <c r="E754" s="17" t="s">
        <v>105</v>
      </c>
      <c r="F754" s="18" t="s">
        <v>23</v>
      </c>
      <c r="G754" s="19" t="s">
        <v>12</v>
      </c>
      <c r="H754" s="20" t="s">
        <v>99</v>
      </c>
      <c r="I754" s="18" t="s">
        <v>14</v>
      </c>
      <c r="J754" s="21" t="s">
        <v>25</v>
      </c>
      <c r="K754" s="21"/>
      <c r="L754" s="21"/>
      <c r="M754" s="21"/>
    </row>
    <row r="755" spans="1:13" x14ac:dyDescent="0.25">
      <c r="A755" t="s">
        <v>26</v>
      </c>
      <c r="B755" s="16" t="s">
        <v>12</v>
      </c>
      <c r="C755" t="s">
        <v>21</v>
      </c>
      <c r="D755" t="str">
        <f t="shared" si="15"/>
        <v>SATURN-Gemini-Scorpio</v>
      </c>
      <c r="E755" s="17" t="s">
        <v>106</v>
      </c>
      <c r="F755" s="18" t="s">
        <v>21</v>
      </c>
      <c r="G755" s="19" t="s">
        <v>12</v>
      </c>
      <c r="H755" s="20" t="s">
        <v>101</v>
      </c>
      <c r="I755" s="18" t="s">
        <v>12</v>
      </c>
      <c r="J755" s="21" t="s">
        <v>25</v>
      </c>
      <c r="K755" s="21"/>
      <c r="L755" s="21"/>
      <c r="M755" s="21"/>
    </row>
    <row r="756" spans="1:13" x14ac:dyDescent="0.25">
      <c r="A756" t="s">
        <v>26</v>
      </c>
      <c r="B756" s="16" t="s">
        <v>12</v>
      </c>
      <c r="C756" t="s">
        <v>23</v>
      </c>
      <c r="D756" t="str">
        <f t="shared" si="15"/>
        <v>SATURN-Gemini-Sagittarius</v>
      </c>
      <c r="E756" s="17" t="s">
        <v>107</v>
      </c>
      <c r="F756" s="18" t="s">
        <v>10</v>
      </c>
      <c r="G756" s="19" t="s">
        <v>12</v>
      </c>
      <c r="H756" s="20" t="s">
        <v>103</v>
      </c>
      <c r="I756" s="18" t="s">
        <v>9</v>
      </c>
      <c r="J756" s="21" t="s">
        <v>25</v>
      </c>
      <c r="K756" s="21"/>
      <c r="L756" s="21"/>
      <c r="M756" s="21"/>
    </row>
    <row r="757" spans="1:13" x14ac:dyDescent="0.25">
      <c r="A757" t="s">
        <v>26</v>
      </c>
      <c r="B757" s="16" t="s">
        <v>12</v>
      </c>
      <c r="C757" t="s">
        <v>25</v>
      </c>
      <c r="D757" t="str">
        <f t="shared" si="15"/>
        <v>SATURN-Gemini-Capricorn</v>
      </c>
      <c r="E757" s="17" t="s">
        <v>108</v>
      </c>
      <c r="F757" s="18" t="s">
        <v>18</v>
      </c>
      <c r="G757" s="19" t="s">
        <v>12</v>
      </c>
      <c r="H757" s="20" t="s">
        <v>98</v>
      </c>
      <c r="I757" s="18" t="s">
        <v>7</v>
      </c>
      <c r="J757" s="21" t="s">
        <v>25</v>
      </c>
      <c r="K757" s="21"/>
      <c r="L757" s="21"/>
      <c r="M757" s="21"/>
    </row>
    <row r="758" spans="1:13" x14ac:dyDescent="0.25">
      <c r="A758" t="s">
        <v>26</v>
      </c>
      <c r="B758" s="16" t="s">
        <v>12</v>
      </c>
      <c r="C758" t="s">
        <v>27</v>
      </c>
      <c r="D758" t="str">
        <f t="shared" si="15"/>
        <v>SATURN-Gemini-Aquarius</v>
      </c>
      <c r="E758" s="17" t="s">
        <v>109</v>
      </c>
      <c r="F758" s="18" t="s">
        <v>16</v>
      </c>
      <c r="G758" s="19" t="s">
        <v>12</v>
      </c>
      <c r="H758" s="20" t="s">
        <v>100</v>
      </c>
      <c r="I758" s="18" t="s">
        <v>29</v>
      </c>
      <c r="J758" s="21" t="s">
        <v>25</v>
      </c>
      <c r="K758" s="21"/>
      <c r="L758" s="21"/>
      <c r="M758" s="21"/>
    </row>
    <row r="759" spans="1:13" x14ac:dyDescent="0.25">
      <c r="A759" t="s">
        <v>26</v>
      </c>
      <c r="B759" s="16" t="s">
        <v>12</v>
      </c>
      <c r="C759" t="s">
        <v>29</v>
      </c>
      <c r="D759" t="str">
        <f t="shared" si="15"/>
        <v>SATURN-Gemini-Pisces</v>
      </c>
      <c r="E759" s="17" t="s">
        <v>99</v>
      </c>
      <c r="F759" s="18" t="s">
        <v>14</v>
      </c>
      <c r="G759" s="19" t="s">
        <v>12</v>
      </c>
      <c r="H759" s="20" t="s">
        <v>102</v>
      </c>
      <c r="I759" s="18" t="s">
        <v>27</v>
      </c>
      <c r="J759" s="21" t="s">
        <v>25</v>
      </c>
      <c r="K759" s="21"/>
      <c r="L759" s="21"/>
      <c r="M759" s="21"/>
    </row>
    <row r="760" spans="1:13" x14ac:dyDescent="0.25">
      <c r="A760" t="s">
        <v>26</v>
      </c>
      <c r="B760" s="16" t="s">
        <v>14</v>
      </c>
      <c r="C760" t="s">
        <v>7</v>
      </c>
      <c r="D760" t="str">
        <f t="shared" si="15"/>
        <v>SATURN-Cancer-Aries</v>
      </c>
      <c r="E760" s="17" t="s">
        <v>99</v>
      </c>
      <c r="F760" s="18" t="s">
        <v>14</v>
      </c>
      <c r="G760" s="19" t="s">
        <v>14</v>
      </c>
      <c r="H760" s="20" t="s">
        <v>104</v>
      </c>
      <c r="I760" s="18" t="s">
        <v>25</v>
      </c>
      <c r="J760" s="21" t="s">
        <v>25</v>
      </c>
      <c r="K760" s="21"/>
      <c r="L760" s="21"/>
      <c r="M760" s="21"/>
    </row>
    <row r="761" spans="1:13" x14ac:dyDescent="0.25">
      <c r="A761" t="s">
        <v>26</v>
      </c>
      <c r="B761" s="16" t="s">
        <v>14</v>
      </c>
      <c r="C761" t="s">
        <v>9</v>
      </c>
      <c r="D761" t="str">
        <f t="shared" si="15"/>
        <v>SATURN-Cancer-Taurus</v>
      </c>
      <c r="E761" s="17" t="s">
        <v>101</v>
      </c>
      <c r="F761" s="18" t="s">
        <v>12</v>
      </c>
      <c r="G761" s="19" t="s">
        <v>14</v>
      </c>
      <c r="H761" s="20" t="s">
        <v>105</v>
      </c>
      <c r="I761" s="18" t="s">
        <v>23</v>
      </c>
      <c r="J761" s="21" t="s">
        <v>25</v>
      </c>
      <c r="K761" s="21"/>
      <c r="L761" s="21"/>
      <c r="M761" s="21"/>
    </row>
    <row r="762" spans="1:13" x14ac:dyDescent="0.25">
      <c r="A762" t="s">
        <v>26</v>
      </c>
      <c r="B762" s="16" t="s">
        <v>14</v>
      </c>
      <c r="C762" t="s">
        <v>12</v>
      </c>
      <c r="D762" t="str">
        <f t="shared" si="15"/>
        <v>SATURN-Cancer-Gemini</v>
      </c>
      <c r="E762" s="17" t="s">
        <v>103</v>
      </c>
      <c r="F762" s="18" t="s">
        <v>9</v>
      </c>
      <c r="G762" s="19" t="s">
        <v>14</v>
      </c>
      <c r="H762" s="20" t="s">
        <v>106</v>
      </c>
      <c r="I762" s="18" t="s">
        <v>21</v>
      </c>
      <c r="J762" s="21" t="s">
        <v>25</v>
      </c>
      <c r="K762" s="21"/>
      <c r="L762" s="21"/>
      <c r="M762" s="21"/>
    </row>
    <row r="763" spans="1:13" x14ac:dyDescent="0.25">
      <c r="A763" t="s">
        <v>26</v>
      </c>
      <c r="B763" s="16" t="s">
        <v>14</v>
      </c>
      <c r="C763" t="s">
        <v>14</v>
      </c>
      <c r="D763" t="str">
        <f t="shared" si="15"/>
        <v>SATURN-Cancer-Cancer</v>
      </c>
      <c r="E763" s="17" t="s">
        <v>98</v>
      </c>
      <c r="F763" s="18" t="s">
        <v>7</v>
      </c>
      <c r="G763" s="19" t="s">
        <v>14</v>
      </c>
      <c r="H763" s="20" t="s">
        <v>107</v>
      </c>
      <c r="I763" s="18" t="s">
        <v>10</v>
      </c>
      <c r="J763" s="21" t="s">
        <v>25</v>
      </c>
      <c r="K763" s="21"/>
      <c r="L763" s="21"/>
      <c r="M763" s="21"/>
    </row>
    <row r="764" spans="1:13" x14ac:dyDescent="0.25">
      <c r="A764" t="s">
        <v>26</v>
      </c>
      <c r="B764" s="16" t="s">
        <v>14</v>
      </c>
      <c r="C764" t="s">
        <v>16</v>
      </c>
      <c r="D764" t="str">
        <f t="shared" si="15"/>
        <v>SATURN-Cancer-Leo</v>
      </c>
      <c r="E764" s="17" t="s">
        <v>100</v>
      </c>
      <c r="F764" s="18" t="s">
        <v>29</v>
      </c>
      <c r="G764" s="19" t="s">
        <v>14</v>
      </c>
      <c r="H764" s="20" t="s">
        <v>108</v>
      </c>
      <c r="I764" s="18" t="s">
        <v>18</v>
      </c>
      <c r="J764" s="21" t="s">
        <v>25</v>
      </c>
      <c r="K764" s="21"/>
      <c r="L764" s="21"/>
      <c r="M764" s="21"/>
    </row>
    <row r="765" spans="1:13" x14ac:dyDescent="0.25">
      <c r="A765" t="s">
        <v>26</v>
      </c>
      <c r="B765" s="16" t="s">
        <v>14</v>
      </c>
      <c r="C765" t="s">
        <v>18</v>
      </c>
      <c r="D765" t="str">
        <f t="shared" si="15"/>
        <v>SATURN-Cancer-Virgo</v>
      </c>
      <c r="E765" s="17" t="s">
        <v>102</v>
      </c>
      <c r="F765" s="18" t="s">
        <v>27</v>
      </c>
      <c r="G765" s="19" t="s">
        <v>14</v>
      </c>
      <c r="H765" s="20" t="s">
        <v>109</v>
      </c>
      <c r="I765" s="18" t="s">
        <v>16</v>
      </c>
      <c r="J765" s="21" t="s">
        <v>25</v>
      </c>
      <c r="K765" s="21"/>
      <c r="L765" s="21"/>
      <c r="M765" s="21"/>
    </row>
    <row r="766" spans="1:13" x14ac:dyDescent="0.25">
      <c r="A766" t="s">
        <v>26</v>
      </c>
      <c r="B766" s="16" t="s">
        <v>14</v>
      </c>
      <c r="C766" t="s">
        <v>10</v>
      </c>
      <c r="D766" t="str">
        <f t="shared" si="15"/>
        <v>SATURN-Cancer-Libra</v>
      </c>
      <c r="E766" s="17" t="s">
        <v>104</v>
      </c>
      <c r="F766" s="18" t="s">
        <v>25</v>
      </c>
      <c r="G766" s="19" t="s">
        <v>14</v>
      </c>
      <c r="H766" s="20" t="s">
        <v>99</v>
      </c>
      <c r="I766" s="18" t="s">
        <v>14</v>
      </c>
      <c r="J766" s="21" t="s">
        <v>25</v>
      </c>
      <c r="K766" s="21"/>
      <c r="L766" s="21"/>
      <c r="M766" s="21"/>
    </row>
    <row r="767" spans="1:13" x14ac:dyDescent="0.25">
      <c r="A767" t="s">
        <v>26</v>
      </c>
      <c r="B767" s="16" t="s">
        <v>14</v>
      </c>
      <c r="C767" t="s">
        <v>21</v>
      </c>
      <c r="D767" t="str">
        <f t="shared" si="15"/>
        <v>SATURN-Cancer-Scorpio</v>
      </c>
      <c r="E767" s="17" t="s">
        <v>105</v>
      </c>
      <c r="F767" s="18" t="s">
        <v>23</v>
      </c>
      <c r="G767" s="19" t="s">
        <v>14</v>
      </c>
      <c r="H767" s="20" t="s">
        <v>101</v>
      </c>
      <c r="I767" s="18" t="s">
        <v>12</v>
      </c>
      <c r="J767" s="21" t="s">
        <v>25</v>
      </c>
      <c r="K767" s="21"/>
      <c r="L767" s="21"/>
      <c r="M767" s="21"/>
    </row>
    <row r="768" spans="1:13" x14ac:dyDescent="0.25">
      <c r="A768" t="s">
        <v>26</v>
      </c>
      <c r="B768" s="16" t="s">
        <v>14</v>
      </c>
      <c r="C768" t="s">
        <v>23</v>
      </c>
      <c r="D768" t="str">
        <f t="shared" si="15"/>
        <v>SATURN-Cancer-Sagittarius</v>
      </c>
      <c r="E768" s="17" t="s">
        <v>106</v>
      </c>
      <c r="F768" s="18" t="s">
        <v>21</v>
      </c>
      <c r="G768" s="19" t="s">
        <v>14</v>
      </c>
      <c r="H768" s="20" t="s">
        <v>103</v>
      </c>
      <c r="I768" s="18" t="s">
        <v>9</v>
      </c>
      <c r="J768" s="21" t="s">
        <v>25</v>
      </c>
      <c r="K768" s="21"/>
      <c r="L768" s="21"/>
      <c r="M768" s="21"/>
    </row>
    <row r="769" spans="1:13" x14ac:dyDescent="0.25">
      <c r="A769" t="s">
        <v>26</v>
      </c>
      <c r="B769" s="16" t="s">
        <v>14</v>
      </c>
      <c r="C769" t="s">
        <v>25</v>
      </c>
      <c r="D769" t="str">
        <f t="shared" si="15"/>
        <v>SATURN-Cancer-Capricorn</v>
      </c>
      <c r="E769" s="17" t="s">
        <v>107</v>
      </c>
      <c r="F769" s="18" t="s">
        <v>10</v>
      </c>
      <c r="G769" s="19" t="s">
        <v>14</v>
      </c>
      <c r="H769" s="20" t="s">
        <v>98</v>
      </c>
      <c r="I769" s="18" t="s">
        <v>7</v>
      </c>
      <c r="J769" s="21" t="s">
        <v>25</v>
      </c>
      <c r="K769" s="21"/>
      <c r="L769" s="21"/>
      <c r="M769" s="21"/>
    </row>
    <row r="770" spans="1:13" x14ac:dyDescent="0.25">
      <c r="A770" t="s">
        <v>26</v>
      </c>
      <c r="B770" s="16" t="s">
        <v>14</v>
      </c>
      <c r="C770" t="s">
        <v>27</v>
      </c>
      <c r="D770" t="str">
        <f t="shared" si="15"/>
        <v>SATURN-Cancer-Aquarius</v>
      </c>
      <c r="E770" s="17" t="s">
        <v>108</v>
      </c>
      <c r="F770" s="18" t="s">
        <v>18</v>
      </c>
      <c r="G770" s="19" t="s">
        <v>14</v>
      </c>
      <c r="H770" s="20" t="s">
        <v>100</v>
      </c>
      <c r="I770" s="18" t="s">
        <v>29</v>
      </c>
      <c r="J770" s="21" t="s">
        <v>25</v>
      </c>
      <c r="K770" s="21"/>
      <c r="L770" s="21"/>
      <c r="M770" s="21"/>
    </row>
    <row r="771" spans="1:13" x14ac:dyDescent="0.25">
      <c r="A771" t="s">
        <v>26</v>
      </c>
      <c r="B771" s="16" t="s">
        <v>14</v>
      </c>
      <c r="C771" t="s">
        <v>29</v>
      </c>
      <c r="D771" t="str">
        <f t="shared" si="15"/>
        <v>SATURN-Cancer-Pisces</v>
      </c>
      <c r="E771" s="17" t="s">
        <v>109</v>
      </c>
      <c r="F771" s="18" t="s">
        <v>16</v>
      </c>
      <c r="G771" s="19" t="s">
        <v>14</v>
      </c>
      <c r="H771" s="20" t="s">
        <v>102</v>
      </c>
      <c r="I771" s="18" t="s">
        <v>27</v>
      </c>
      <c r="J771" s="21" t="s">
        <v>25</v>
      </c>
      <c r="K771" s="21"/>
      <c r="L771" s="21"/>
      <c r="M771" s="21"/>
    </row>
    <row r="772" spans="1:13" x14ac:dyDescent="0.25">
      <c r="A772" t="s">
        <v>26</v>
      </c>
      <c r="B772" s="16" t="s">
        <v>16</v>
      </c>
      <c r="C772" t="s">
        <v>7</v>
      </c>
      <c r="D772" t="str">
        <f t="shared" si="15"/>
        <v>SATURN-Leo-Aries</v>
      </c>
      <c r="E772" s="17" t="s">
        <v>109</v>
      </c>
      <c r="F772" s="18" t="s">
        <v>16</v>
      </c>
      <c r="G772" s="19" t="s">
        <v>16</v>
      </c>
      <c r="H772" s="20" t="s">
        <v>104</v>
      </c>
      <c r="I772" s="18" t="s">
        <v>25</v>
      </c>
      <c r="J772" s="21" t="s">
        <v>25</v>
      </c>
      <c r="K772" s="21"/>
      <c r="L772" s="21"/>
      <c r="M772" s="21"/>
    </row>
    <row r="773" spans="1:13" x14ac:dyDescent="0.25">
      <c r="A773" t="s">
        <v>26</v>
      </c>
      <c r="B773" s="16" t="s">
        <v>16</v>
      </c>
      <c r="C773" t="s">
        <v>9</v>
      </c>
      <c r="D773" t="str">
        <f t="shared" si="15"/>
        <v>SATURN-Leo-Taurus</v>
      </c>
      <c r="E773" s="17" t="s">
        <v>99</v>
      </c>
      <c r="F773" s="18" t="s">
        <v>14</v>
      </c>
      <c r="G773" s="19" t="s">
        <v>16</v>
      </c>
      <c r="H773" s="20" t="s">
        <v>105</v>
      </c>
      <c r="I773" s="18" t="s">
        <v>23</v>
      </c>
      <c r="J773" s="21" t="s">
        <v>25</v>
      </c>
      <c r="K773" s="21"/>
      <c r="L773" s="21"/>
      <c r="M773" s="21"/>
    </row>
    <row r="774" spans="1:13" x14ac:dyDescent="0.25">
      <c r="A774" t="s">
        <v>26</v>
      </c>
      <c r="B774" s="16" t="s">
        <v>16</v>
      </c>
      <c r="C774" t="s">
        <v>12</v>
      </c>
      <c r="D774" t="str">
        <f t="shared" si="15"/>
        <v>SATURN-Leo-Gemini</v>
      </c>
      <c r="E774" s="17" t="s">
        <v>101</v>
      </c>
      <c r="F774" s="18" t="s">
        <v>12</v>
      </c>
      <c r="G774" s="19" t="s">
        <v>16</v>
      </c>
      <c r="H774" s="20" t="s">
        <v>106</v>
      </c>
      <c r="I774" s="18" t="s">
        <v>21</v>
      </c>
      <c r="J774" s="21" t="s">
        <v>25</v>
      </c>
      <c r="K774" s="21"/>
      <c r="L774" s="21"/>
      <c r="M774" s="21"/>
    </row>
    <row r="775" spans="1:13" x14ac:dyDescent="0.25">
      <c r="A775" t="s">
        <v>26</v>
      </c>
      <c r="B775" s="16" t="s">
        <v>16</v>
      </c>
      <c r="C775" t="s">
        <v>14</v>
      </c>
      <c r="D775" t="str">
        <f t="shared" si="15"/>
        <v>SATURN-Leo-Cancer</v>
      </c>
      <c r="E775" s="17" t="s">
        <v>103</v>
      </c>
      <c r="F775" s="18" t="s">
        <v>9</v>
      </c>
      <c r="G775" s="19" t="s">
        <v>16</v>
      </c>
      <c r="H775" s="20" t="s">
        <v>107</v>
      </c>
      <c r="I775" s="18" t="s">
        <v>10</v>
      </c>
      <c r="J775" s="21" t="s">
        <v>25</v>
      </c>
      <c r="K775" s="21"/>
      <c r="L775" s="21"/>
      <c r="M775" s="21"/>
    </row>
    <row r="776" spans="1:13" x14ac:dyDescent="0.25">
      <c r="A776" t="s">
        <v>26</v>
      </c>
      <c r="B776" s="16" t="s">
        <v>16</v>
      </c>
      <c r="C776" t="s">
        <v>16</v>
      </c>
      <c r="D776" t="str">
        <f t="shared" si="15"/>
        <v>SATURN-Leo-Leo</v>
      </c>
      <c r="E776" s="17" t="s">
        <v>98</v>
      </c>
      <c r="F776" s="18" t="s">
        <v>7</v>
      </c>
      <c r="G776" s="19" t="s">
        <v>16</v>
      </c>
      <c r="H776" s="20" t="s">
        <v>108</v>
      </c>
      <c r="I776" s="18" t="s">
        <v>18</v>
      </c>
      <c r="J776" s="21" t="s">
        <v>25</v>
      </c>
      <c r="K776" s="21"/>
      <c r="L776" s="21"/>
      <c r="M776" s="21"/>
    </row>
    <row r="777" spans="1:13" x14ac:dyDescent="0.25">
      <c r="A777" t="s">
        <v>26</v>
      </c>
      <c r="B777" s="16" t="s">
        <v>16</v>
      </c>
      <c r="C777" t="s">
        <v>18</v>
      </c>
      <c r="D777" t="str">
        <f t="shared" si="15"/>
        <v>SATURN-Leo-Virgo</v>
      </c>
      <c r="E777" s="17" t="s">
        <v>100</v>
      </c>
      <c r="F777" s="18" t="s">
        <v>29</v>
      </c>
      <c r="G777" s="19" t="s">
        <v>16</v>
      </c>
      <c r="H777" s="20" t="s">
        <v>109</v>
      </c>
      <c r="I777" s="18" t="s">
        <v>16</v>
      </c>
      <c r="J777" s="21" t="s">
        <v>25</v>
      </c>
      <c r="K777" s="21"/>
      <c r="L777" s="21"/>
      <c r="M777" s="21"/>
    </row>
    <row r="778" spans="1:13" x14ac:dyDescent="0.25">
      <c r="A778" t="s">
        <v>26</v>
      </c>
      <c r="B778" s="16" t="s">
        <v>16</v>
      </c>
      <c r="C778" t="s">
        <v>10</v>
      </c>
      <c r="D778" t="str">
        <f t="shared" si="15"/>
        <v>SATURN-Leo-Libra</v>
      </c>
      <c r="E778" s="17" t="s">
        <v>102</v>
      </c>
      <c r="F778" s="18" t="s">
        <v>27</v>
      </c>
      <c r="G778" s="19" t="s">
        <v>16</v>
      </c>
      <c r="H778" s="20" t="s">
        <v>99</v>
      </c>
      <c r="I778" s="18" t="s">
        <v>14</v>
      </c>
      <c r="J778" s="21" t="s">
        <v>25</v>
      </c>
      <c r="K778" s="21"/>
      <c r="L778" s="21"/>
      <c r="M778" s="21"/>
    </row>
    <row r="779" spans="1:13" x14ac:dyDescent="0.25">
      <c r="A779" t="s">
        <v>26</v>
      </c>
      <c r="B779" s="16" t="s">
        <v>16</v>
      </c>
      <c r="C779" t="s">
        <v>21</v>
      </c>
      <c r="D779" t="str">
        <f t="shared" si="15"/>
        <v>SATURN-Leo-Scorpio</v>
      </c>
      <c r="E779" s="17" t="s">
        <v>104</v>
      </c>
      <c r="F779" s="18" t="s">
        <v>25</v>
      </c>
      <c r="G779" s="19" t="s">
        <v>16</v>
      </c>
      <c r="H779" s="20" t="s">
        <v>101</v>
      </c>
      <c r="I779" s="18" t="s">
        <v>12</v>
      </c>
      <c r="J779" s="21" t="s">
        <v>25</v>
      </c>
      <c r="K779" s="21"/>
      <c r="L779" s="21"/>
      <c r="M779" s="21"/>
    </row>
    <row r="780" spans="1:13" x14ac:dyDescent="0.25">
      <c r="A780" t="s">
        <v>26</v>
      </c>
      <c r="B780" s="16" t="s">
        <v>16</v>
      </c>
      <c r="C780" t="s">
        <v>23</v>
      </c>
      <c r="D780" t="str">
        <f t="shared" si="15"/>
        <v>SATURN-Leo-Sagittarius</v>
      </c>
      <c r="E780" s="17" t="s">
        <v>105</v>
      </c>
      <c r="F780" s="18" t="s">
        <v>23</v>
      </c>
      <c r="G780" s="19" t="s">
        <v>16</v>
      </c>
      <c r="H780" s="20" t="s">
        <v>103</v>
      </c>
      <c r="I780" s="18" t="s">
        <v>9</v>
      </c>
      <c r="J780" s="21" t="s">
        <v>25</v>
      </c>
      <c r="K780" s="21"/>
      <c r="L780" s="21"/>
      <c r="M780" s="21"/>
    </row>
    <row r="781" spans="1:13" x14ac:dyDescent="0.25">
      <c r="A781" t="s">
        <v>26</v>
      </c>
      <c r="B781" s="16" t="s">
        <v>16</v>
      </c>
      <c r="C781" t="s">
        <v>25</v>
      </c>
      <c r="D781" t="str">
        <f t="shared" si="15"/>
        <v>SATURN-Leo-Capricorn</v>
      </c>
      <c r="E781" s="17" t="s">
        <v>106</v>
      </c>
      <c r="F781" s="18" t="s">
        <v>21</v>
      </c>
      <c r="G781" s="19" t="s">
        <v>16</v>
      </c>
      <c r="H781" s="20" t="s">
        <v>98</v>
      </c>
      <c r="I781" s="18" t="s">
        <v>7</v>
      </c>
      <c r="J781" s="21" t="s">
        <v>25</v>
      </c>
      <c r="K781" s="21"/>
      <c r="L781" s="21"/>
      <c r="M781" s="21"/>
    </row>
    <row r="782" spans="1:13" x14ac:dyDescent="0.25">
      <c r="A782" t="s">
        <v>26</v>
      </c>
      <c r="B782" s="16" t="s">
        <v>16</v>
      </c>
      <c r="C782" t="s">
        <v>27</v>
      </c>
      <c r="D782" t="str">
        <f t="shared" si="15"/>
        <v>SATURN-Leo-Aquarius</v>
      </c>
      <c r="E782" s="17" t="s">
        <v>107</v>
      </c>
      <c r="F782" s="18" t="s">
        <v>10</v>
      </c>
      <c r="G782" s="19" t="s">
        <v>16</v>
      </c>
      <c r="H782" s="20" t="s">
        <v>100</v>
      </c>
      <c r="I782" s="18" t="s">
        <v>29</v>
      </c>
      <c r="J782" s="21" t="s">
        <v>25</v>
      </c>
      <c r="K782" s="21"/>
      <c r="L782" s="21"/>
      <c r="M782" s="21"/>
    </row>
    <row r="783" spans="1:13" x14ac:dyDescent="0.25">
      <c r="A783" t="s">
        <v>26</v>
      </c>
      <c r="B783" s="16" t="s">
        <v>16</v>
      </c>
      <c r="C783" t="s">
        <v>29</v>
      </c>
      <c r="D783" t="str">
        <f t="shared" si="15"/>
        <v>SATURN-Leo-Pisces</v>
      </c>
      <c r="E783" s="17" t="s">
        <v>108</v>
      </c>
      <c r="F783" s="18" t="s">
        <v>18</v>
      </c>
      <c r="G783" s="19" t="s">
        <v>16</v>
      </c>
      <c r="H783" s="20" t="s">
        <v>102</v>
      </c>
      <c r="I783" s="18" t="s">
        <v>27</v>
      </c>
      <c r="J783" s="21" t="s">
        <v>25</v>
      </c>
      <c r="K783" s="21"/>
      <c r="L783" s="21"/>
      <c r="M783" s="21"/>
    </row>
    <row r="784" spans="1:13" x14ac:dyDescent="0.25">
      <c r="A784" t="s">
        <v>26</v>
      </c>
      <c r="B784" s="16" t="s">
        <v>18</v>
      </c>
      <c r="C784" t="s">
        <v>7</v>
      </c>
      <c r="D784" t="str">
        <f t="shared" si="15"/>
        <v>SATURN-Virgo-Aries</v>
      </c>
      <c r="E784" s="17" t="s">
        <v>108</v>
      </c>
      <c r="F784" s="18" t="s">
        <v>18</v>
      </c>
      <c r="G784" s="19" t="s">
        <v>18</v>
      </c>
      <c r="H784" s="20" t="s">
        <v>104</v>
      </c>
      <c r="I784" s="18" t="s">
        <v>25</v>
      </c>
      <c r="J784" s="21" t="s">
        <v>25</v>
      </c>
      <c r="K784" s="21"/>
      <c r="L784" s="21"/>
      <c r="M784" s="21"/>
    </row>
    <row r="785" spans="1:13" x14ac:dyDescent="0.25">
      <c r="A785" t="s">
        <v>26</v>
      </c>
      <c r="B785" s="16" t="s">
        <v>18</v>
      </c>
      <c r="C785" t="s">
        <v>9</v>
      </c>
      <c r="D785" t="str">
        <f t="shared" si="15"/>
        <v>SATURN-Virgo-Taurus</v>
      </c>
      <c r="E785" s="17" t="s">
        <v>109</v>
      </c>
      <c r="F785" s="18" t="s">
        <v>16</v>
      </c>
      <c r="G785" s="19" t="s">
        <v>18</v>
      </c>
      <c r="H785" s="20" t="s">
        <v>105</v>
      </c>
      <c r="I785" s="18" t="s">
        <v>23</v>
      </c>
      <c r="J785" s="21" t="s">
        <v>25</v>
      </c>
      <c r="K785" s="21"/>
      <c r="L785" s="21"/>
      <c r="M785" s="21"/>
    </row>
    <row r="786" spans="1:13" x14ac:dyDescent="0.25">
      <c r="A786" t="s">
        <v>26</v>
      </c>
      <c r="B786" s="16" t="s">
        <v>18</v>
      </c>
      <c r="C786" t="s">
        <v>12</v>
      </c>
      <c r="D786" t="str">
        <f t="shared" si="15"/>
        <v>SATURN-Virgo-Gemini</v>
      </c>
      <c r="E786" s="17" t="s">
        <v>99</v>
      </c>
      <c r="F786" s="18" t="s">
        <v>14</v>
      </c>
      <c r="G786" s="19" t="s">
        <v>18</v>
      </c>
      <c r="H786" s="20" t="s">
        <v>106</v>
      </c>
      <c r="I786" s="18" t="s">
        <v>21</v>
      </c>
      <c r="J786" s="21" t="s">
        <v>25</v>
      </c>
      <c r="K786" s="21"/>
      <c r="L786" s="21"/>
      <c r="M786" s="21"/>
    </row>
    <row r="787" spans="1:13" x14ac:dyDescent="0.25">
      <c r="A787" t="s">
        <v>26</v>
      </c>
      <c r="B787" s="16" t="s">
        <v>18</v>
      </c>
      <c r="C787" t="s">
        <v>14</v>
      </c>
      <c r="D787" t="str">
        <f t="shared" si="15"/>
        <v>SATURN-Virgo-Cancer</v>
      </c>
      <c r="E787" s="17" t="s">
        <v>101</v>
      </c>
      <c r="F787" s="18" t="s">
        <v>12</v>
      </c>
      <c r="G787" s="19" t="s">
        <v>18</v>
      </c>
      <c r="H787" s="20" t="s">
        <v>107</v>
      </c>
      <c r="I787" s="18" t="s">
        <v>10</v>
      </c>
      <c r="J787" s="21" t="s">
        <v>25</v>
      </c>
      <c r="K787" s="21"/>
      <c r="L787" s="21"/>
      <c r="M787" s="21"/>
    </row>
    <row r="788" spans="1:13" x14ac:dyDescent="0.25">
      <c r="A788" t="s">
        <v>26</v>
      </c>
      <c r="B788" s="16" t="s">
        <v>18</v>
      </c>
      <c r="C788" t="s">
        <v>16</v>
      </c>
      <c r="D788" t="str">
        <f t="shared" si="15"/>
        <v>SATURN-Virgo-Leo</v>
      </c>
      <c r="E788" s="17" t="s">
        <v>103</v>
      </c>
      <c r="F788" s="18" t="s">
        <v>9</v>
      </c>
      <c r="G788" s="19" t="s">
        <v>18</v>
      </c>
      <c r="H788" s="20" t="s">
        <v>108</v>
      </c>
      <c r="I788" s="18" t="s">
        <v>18</v>
      </c>
      <c r="J788" s="21" t="s">
        <v>25</v>
      </c>
      <c r="K788" s="21"/>
      <c r="L788" s="21"/>
      <c r="M788" s="21"/>
    </row>
    <row r="789" spans="1:13" x14ac:dyDescent="0.25">
      <c r="A789" t="s">
        <v>26</v>
      </c>
      <c r="B789" s="16" t="s">
        <v>18</v>
      </c>
      <c r="C789" t="s">
        <v>18</v>
      </c>
      <c r="D789" t="str">
        <f t="shared" ref="D789:D852" si="16">A789&amp;"-"&amp;B789&amp;"-"&amp;C789</f>
        <v>SATURN-Virgo-Virgo</v>
      </c>
      <c r="E789" s="17" t="s">
        <v>98</v>
      </c>
      <c r="F789" s="18" t="s">
        <v>7</v>
      </c>
      <c r="G789" s="19" t="s">
        <v>18</v>
      </c>
      <c r="H789" s="20" t="s">
        <v>109</v>
      </c>
      <c r="I789" s="18" t="s">
        <v>16</v>
      </c>
      <c r="J789" s="21" t="s">
        <v>25</v>
      </c>
      <c r="K789" s="21"/>
      <c r="L789" s="21"/>
      <c r="M789" s="21"/>
    </row>
    <row r="790" spans="1:13" x14ac:dyDescent="0.25">
      <c r="A790" t="s">
        <v>26</v>
      </c>
      <c r="B790" s="16" t="s">
        <v>18</v>
      </c>
      <c r="C790" t="s">
        <v>10</v>
      </c>
      <c r="D790" t="str">
        <f t="shared" si="16"/>
        <v>SATURN-Virgo-Libra</v>
      </c>
      <c r="E790" s="17" t="s">
        <v>100</v>
      </c>
      <c r="F790" s="18" t="s">
        <v>29</v>
      </c>
      <c r="G790" s="19" t="s">
        <v>18</v>
      </c>
      <c r="H790" s="20" t="s">
        <v>99</v>
      </c>
      <c r="I790" s="18" t="s">
        <v>14</v>
      </c>
      <c r="J790" s="21" t="s">
        <v>25</v>
      </c>
      <c r="K790" s="21"/>
      <c r="L790" s="21"/>
      <c r="M790" s="21"/>
    </row>
    <row r="791" spans="1:13" x14ac:dyDescent="0.25">
      <c r="A791" t="s">
        <v>26</v>
      </c>
      <c r="B791" s="16" t="s">
        <v>18</v>
      </c>
      <c r="C791" t="s">
        <v>21</v>
      </c>
      <c r="D791" t="str">
        <f t="shared" si="16"/>
        <v>SATURN-Virgo-Scorpio</v>
      </c>
      <c r="E791" s="17" t="s">
        <v>102</v>
      </c>
      <c r="F791" s="18" t="s">
        <v>27</v>
      </c>
      <c r="G791" s="19" t="s">
        <v>18</v>
      </c>
      <c r="H791" s="20" t="s">
        <v>101</v>
      </c>
      <c r="I791" s="18" t="s">
        <v>12</v>
      </c>
      <c r="J791" s="21" t="s">
        <v>25</v>
      </c>
      <c r="K791" s="21"/>
      <c r="L791" s="21"/>
      <c r="M791" s="21"/>
    </row>
    <row r="792" spans="1:13" x14ac:dyDescent="0.25">
      <c r="A792" t="s">
        <v>26</v>
      </c>
      <c r="B792" s="16" t="s">
        <v>18</v>
      </c>
      <c r="C792" t="s">
        <v>23</v>
      </c>
      <c r="D792" t="str">
        <f t="shared" si="16"/>
        <v>SATURN-Virgo-Sagittarius</v>
      </c>
      <c r="E792" s="17" t="s">
        <v>104</v>
      </c>
      <c r="F792" s="18" t="s">
        <v>25</v>
      </c>
      <c r="G792" s="19" t="s">
        <v>18</v>
      </c>
      <c r="H792" s="20" t="s">
        <v>103</v>
      </c>
      <c r="I792" s="18" t="s">
        <v>9</v>
      </c>
      <c r="J792" s="21" t="s">
        <v>25</v>
      </c>
      <c r="K792" s="21"/>
      <c r="L792" s="21"/>
      <c r="M792" s="21"/>
    </row>
    <row r="793" spans="1:13" x14ac:dyDescent="0.25">
      <c r="A793" t="s">
        <v>26</v>
      </c>
      <c r="B793" s="16" t="s">
        <v>18</v>
      </c>
      <c r="C793" t="s">
        <v>25</v>
      </c>
      <c r="D793" t="str">
        <f t="shared" si="16"/>
        <v>SATURN-Virgo-Capricorn</v>
      </c>
      <c r="E793" s="17" t="s">
        <v>105</v>
      </c>
      <c r="F793" s="18" t="s">
        <v>23</v>
      </c>
      <c r="G793" s="19" t="s">
        <v>18</v>
      </c>
      <c r="H793" s="20" t="s">
        <v>98</v>
      </c>
      <c r="I793" s="18" t="s">
        <v>7</v>
      </c>
      <c r="J793" s="21" t="s">
        <v>25</v>
      </c>
      <c r="K793" s="21"/>
      <c r="L793" s="21"/>
      <c r="M793" s="21"/>
    </row>
    <row r="794" spans="1:13" x14ac:dyDescent="0.25">
      <c r="A794" t="s">
        <v>26</v>
      </c>
      <c r="B794" s="16" t="s">
        <v>18</v>
      </c>
      <c r="C794" t="s">
        <v>27</v>
      </c>
      <c r="D794" t="str">
        <f t="shared" si="16"/>
        <v>SATURN-Virgo-Aquarius</v>
      </c>
      <c r="E794" s="17" t="s">
        <v>106</v>
      </c>
      <c r="F794" s="18" t="s">
        <v>21</v>
      </c>
      <c r="G794" s="19" t="s">
        <v>18</v>
      </c>
      <c r="H794" s="20" t="s">
        <v>100</v>
      </c>
      <c r="I794" s="18" t="s">
        <v>29</v>
      </c>
      <c r="J794" s="21" t="s">
        <v>25</v>
      </c>
      <c r="K794" s="21"/>
      <c r="L794" s="21"/>
      <c r="M794" s="21"/>
    </row>
    <row r="795" spans="1:13" x14ac:dyDescent="0.25">
      <c r="A795" t="s">
        <v>26</v>
      </c>
      <c r="B795" s="16" t="s">
        <v>18</v>
      </c>
      <c r="C795" t="s">
        <v>29</v>
      </c>
      <c r="D795" t="str">
        <f t="shared" si="16"/>
        <v>SATURN-Virgo-Pisces</v>
      </c>
      <c r="E795" s="17" t="s">
        <v>107</v>
      </c>
      <c r="F795" s="18" t="s">
        <v>10</v>
      </c>
      <c r="G795" s="19" t="s">
        <v>18</v>
      </c>
      <c r="H795" s="20" t="s">
        <v>102</v>
      </c>
      <c r="I795" s="18" t="s">
        <v>27</v>
      </c>
      <c r="J795" s="21" t="s">
        <v>25</v>
      </c>
      <c r="K795" s="21"/>
      <c r="L795" s="21"/>
      <c r="M795" s="21"/>
    </row>
    <row r="796" spans="1:13" x14ac:dyDescent="0.25">
      <c r="A796" t="s">
        <v>26</v>
      </c>
      <c r="B796" s="16" t="s">
        <v>10</v>
      </c>
      <c r="C796" t="s">
        <v>7</v>
      </c>
      <c r="D796" t="str">
        <f t="shared" si="16"/>
        <v>SATURN-Libra-Aries</v>
      </c>
      <c r="E796" s="17" t="s">
        <v>107</v>
      </c>
      <c r="F796" s="18" t="s">
        <v>10</v>
      </c>
      <c r="G796" s="19" t="s">
        <v>10</v>
      </c>
      <c r="H796" s="20" t="s">
        <v>104</v>
      </c>
      <c r="I796" s="18" t="s">
        <v>25</v>
      </c>
      <c r="J796" s="21" t="s">
        <v>25</v>
      </c>
      <c r="K796" s="21"/>
      <c r="L796" s="21"/>
      <c r="M796" s="21"/>
    </row>
    <row r="797" spans="1:13" x14ac:dyDescent="0.25">
      <c r="A797" t="s">
        <v>26</v>
      </c>
      <c r="B797" s="16" t="s">
        <v>10</v>
      </c>
      <c r="C797" t="s">
        <v>9</v>
      </c>
      <c r="D797" t="str">
        <f t="shared" si="16"/>
        <v>SATURN-Libra-Taurus</v>
      </c>
      <c r="E797" s="17" t="s">
        <v>108</v>
      </c>
      <c r="F797" s="18" t="s">
        <v>18</v>
      </c>
      <c r="G797" s="19" t="s">
        <v>10</v>
      </c>
      <c r="H797" s="20" t="s">
        <v>105</v>
      </c>
      <c r="I797" s="18" t="s">
        <v>23</v>
      </c>
      <c r="J797" s="21" t="s">
        <v>25</v>
      </c>
      <c r="K797" s="21"/>
      <c r="L797" s="21"/>
      <c r="M797" s="21"/>
    </row>
    <row r="798" spans="1:13" x14ac:dyDescent="0.25">
      <c r="A798" t="s">
        <v>26</v>
      </c>
      <c r="B798" s="16" t="s">
        <v>10</v>
      </c>
      <c r="C798" t="s">
        <v>12</v>
      </c>
      <c r="D798" t="str">
        <f t="shared" si="16"/>
        <v>SATURN-Libra-Gemini</v>
      </c>
      <c r="E798" s="17" t="s">
        <v>109</v>
      </c>
      <c r="F798" s="18" t="s">
        <v>16</v>
      </c>
      <c r="G798" s="19" t="s">
        <v>10</v>
      </c>
      <c r="H798" s="20" t="s">
        <v>106</v>
      </c>
      <c r="I798" s="18" t="s">
        <v>21</v>
      </c>
      <c r="J798" s="21" t="s">
        <v>25</v>
      </c>
      <c r="K798" s="21"/>
      <c r="L798" s="21"/>
      <c r="M798" s="21"/>
    </row>
    <row r="799" spans="1:13" x14ac:dyDescent="0.25">
      <c r="A799" t="s">
        <v>26</v>
      </c>
      <c r="B799" s="16" t="s">
        <v>10</v>
      </c>
      <c r="C799" t="s">
        <v>14</v>
      </c>
      <c r="D799" t="str">
        <f t="shared" si="16"/>
        <v>SATURN-Libra-Cancer</v>
      </c>
      <c r="E799" s="17" t="s">
        <v>99</v>
      </c>
      <c r="F799" s="18" t="s">
        <v>14</v>
      </c>
      <c r="G799" s="19" t="s">
        <v>10</v>
      </c>
      <c r="H799" s="20" t="s">
        <v>107</v>
      </c>
      <c r="I799" s="18" t="s">
        <v>10</v>
      </c>
      <c r="J799" s="21" t="s">
        <v>25</v>
      </c>
      <c r="K799" s="21"/>
      <c r="L799" s="21"/>
      <c r="M799" s="21"/>
    </row>
    <row r="800" spans="1:13" x14ac:dyDescent="0.25">
      <c r="A800" t="s">
        <v>26</v>
      </c>
      <c r="B800" s="16" t="s">
        <v>10</v>
      </c>
      <c r="C800" t="s">
        <v>16</v>
      </c>
      <c r="D800" t="str">
        <f t="shared" si="16"/>
        <v>SATURN-Libra-Leo</v>
      </c>
      <c r="E800" s="17" t="s">
        <v>101</v>
      </c>
      <c r="F800" s="18" t="s">
        <v>12</v>
      </c>
      <c r="G800" s="19" t="s">
        <v>10</v>
      </c>
      <c r="H800" s="20" t="s">
        <v>108</v>
      </c>
      <c r="I800" s="18" t="s">
        <v>18</v>
      </c>
      <c r="J800" s="21" t="s">
        <v>25</v>
      </c>
      <c r="K800" s="21"/>
      <c r="L800" s="21"/>
      <c r="M800" s="21"/>
    </row>
    <row r="801" spans="1:13" x14ac:dyDescent="0.25">
      <c r="A801" t="s">
        <v>26</v>
      </c>
      <c r="B801" s="16" t="s">
        <v>10</v>
      </c>
      <c r="C801" t="s">
        <v>18</v>
      </c>
      <c r="D801" t="str">
        <f t="shared" si="16"/>
        <v>SATURN-Libra-Virgo</v>
      </c>
      <c r="E801" s="17" t="s">
        <v>103</v>
      </c>
      <c r="F801" s="18" t="s">
        <v>9</v>
      </c>
      <c r="G801" s="19" t="s">
        <v>10</v>
      </c>
      <c r="H801" s="20" t="s">
        <v>109</v>
      </c>
      <c r="I801" s="18" t="s">
        <v>16</v>
      </c>
      <c r="J801" s="21" t="s">
        <v>25</v>
      </c>
      <c r="K801" s="21"/>
      <c r="L801" s="21"/>
      <c r="M801" s="21"/>
    </row>
    <row r="802" spans="1:13" x14ac:dyDescent="0.25">
      <c r="A802" t="s">
        <v>26</v>
      </c>
      <c r="B802" s="16" t="s">
        <v>10</v>
      </c>
      <c r="C802" t="s">
        <v>10</v>
      </c>
      <c r="D802" t="str">
        <f t="shared" si="16"/>
        <v>SATURN-Libra-Libra</v>
      </c>
      <c r="E802" s="17" t="s">
        <v>98</v>
      </c>
      <c r="F802" s="18" t="s">
        <v>7</v>
      </c>
      <c r="G802" s="19" t="s">
        <v>10</v>
      </c>
      <c r="H802" s="20" t="s">
        <v>99</v>
      </c>
      <c r="I802" s="18" t="s">
        <v>14</v>
      </c>
      <c r="J802" s="21" t="s">
        <v>25</v>
      </c>
      <c r="K802" s="21"/>
      <c r="L802" s="21"/>
      <c r="M802" s="21"/>
    </row>
    <row r="803" spans="1:13" x14ac:dyDescent="0.25">
      <c r="A803" t="s">
        <v>26</v>
      </c>
      <c r="B803" s="16" t="s">
        <v>10</v>
      </c>
      <c r="C803" t="s">
        <v>21</v>
      </c>
      <c r="D803" t="str">
        <f t="shared" si="16"/>
        <v>SATURN-Libra-Scorpio</v>
      </c>
      <c r="E803" s="17" t="s">
        <v>100</v>
      </c>
      <c r="F803" s="18" t="s">
        <v>29</v>
      </c>
      <c r="G803" s="19" t="s">
        <v>10</v>
      </c>
      <c r="H803" s="20" t="s">
        <v>101</v>
      </c>
      <c r="I803" s="18" t="s">
        <v>12</v>
      </c>
      <c r="J803" s="21" t="s">
        <v>25</v>
      </c>
      <c r="K803" s="21"/>
      <c r="L803" s="21"/>
      <c r="M803" s="21"/>
    </row>
    <row r="804" spans="1:13" x14ac:dyDescent="0.25">
      <c r="A804" t="s">
        <v>26</v>
      </c>
      <c r="B804" s="16" t="s">
        <v>10</v>
      </c>
      <c r="C804" t="s">
        <v>23</v>
      </c>
      <c r="D804" t="str">
        <f t="shared" si="16"/>
        <v>SATURN-Libra-Sagittarius</v>
      </c>
      <c r="E804" s="17" t="s">
        <v>102</v>
      </c>
      <c r="F804" s="18" t="s">
        <v>27</v>
      </c>
      <c r="G804" s="19" t="s">
        <v>10</v>
      </c>
      <c r="H804" s="20" t="s">
        <v>103</v>
      </c>
      <c r="I804" s="18" t="s">
        <v>9</v>
      </c>
      <c r="J804" s="21" t="s">
        <v>25</v>
      </c>
      <c r="K804" s="21"/>
      <c r="L804" s="21"/>
      <c r="M804" s="21"/>
    </row>
    <row r="805" spans="1:13" x14ac:dyDescent="0.25">
      <c r="A805" t="s">
        <v>26</v>
      </c>
      <c r="B805" s="16" t="s">
        <v>10</v>
      </c>
      <c r="C805" t="s">
        <v>25</v>
      </c>
      <c r="D805" t="str">
        <f t="shared" si="16"/>
        <v>SATURN-Libra-Capricorn</v>
      </c>
      <c r="E805" s="17" t="s">
        <v>104</v>
      </c>
      <c r="F805" s="18" t="s">
        <v>25</v>
      </c>
      <c r="G805" s="19" t="s">
        <v>10</v>
      </c>
      <c r="H805" s="20" t="s">
        <v>98</v>
      </c>
      <c r="I805" s="18" t="s">
        <v>7</v>
      </c>
      <c r="J805" s="21" t="s">
        <v>25</v>
      </c>
      <c r="K805" s="21"/>
      <c r="L805" s="21"/>
      <c r="M805" s="21"/>
    </row>
    <row r="806" spans="1:13" x14ac:dyDescent="0.25">
      <c r="A806" t="s">
        <v>26</v>
      </c>
      <c r="B806" s="16" t="s">
        <v>10</v>
      </c>
      <c r="C806" t="s">
        <v>27</v>
      </c>
      <c r="D806" t="str">
        <f t="shared" si="16"/>
        <v>SATURN-Libra-Aquarius</v>
      </c>
      <c r="E806" s="17" t="s">
        <v>105</v>
      </c>
      <c r="F806" s="18" t="s">
        <v>23</v>
      </c>
      <c r="G806" s="19" t="s">
        <v>10</v>
      </c>
      <c r="H806" s="20" t="s">
        <v>100</v>
      </c>
      <c r="I806" s="18" t="s">
        <v>29</v>
      </c>
      <c r="J806" s="21" t="s">
        <v>25</v>
      </c>
      <c r="K806" s="21"/>
      <c r="L806" s="21"/>
      <c r="M806" s="21"/>
    </row>
    <row r="807" spans="1:13" x14ac:dyDescent="0.25">
      <c r="A807" t="s">
        <v>26</v>
      </c>
      <c r="B807" s="16" t="s">
        <v>10</v>
      </c>
      <c r="C807" t="s">
        <v>29</v>
      </c>
      <c r="D807" t="str">
        <f t="shared" si="16"/>
        <v>SATURN-Libra-Pisces</v>
      </c>
      <c r="E807" s="17" t="s">
        <v>106</v>
      </c>
      <c r="F807" s="18" t="s">
        <v>21</v>
      </c>
      <c r="G807" s="19" t="s">
        <v>10</v>
      </c>
      <c r="H807" s="20" t="s">
        <v>102</v>
      </c>
      <c r="I807" s="18" t="s">
        <v>27</v>
      </c>
      <c r="J807" s="21" t="s">
        <v>25</v>
      </c>
      <c r="K807" s="21"/>
      <c r="L807" s="21"/>
      <c r="M807" s="21"/>
    </row>
    <row r="808" spans="1:13" x14ac:dyDescent="0.25">
      <c r="A808" t="s">
        <v>26</v>
      </c>
      <c r="B808" s="16" t="s">
        <v>21</v>
      </c>
      <c r="C808" t="s">
        <v>7</v>
      </c>
      <c r="D808" t="str">
        <f t="shared" si="16"/>
        <v>SATURN-Scorpio-Aries</v>
      </c>
      <c r="E808" s="17" t="s">
        <v>106</v>
      </c>
      <c r="F808" s="18" t="s">
        <v>21</v>
      </c>
      <c r="G808" s="19" t="s">
        <v>21</v>
      </c>
      <c r="H808" s="20" t="s">
        <v>104</v>
      </c>
      <c r="I808" s="18" t="s">
        <v>25</v>
      </c>
      <c r="J808" s="21" t="s">
        <v>25</v>
      </c>
      <c r="K808" s="21"/>
      <c r="L808" s="21"/>
      <c r="M808" s="21"/>
    </row>
    <row r="809" spans="1:13" x14ac:dyDescent="0.25">
      <c r="A809" t="s">
        <v>26</v>
      </c>
      <c r="B809" s="16" t="s">
        <v>21</v>
      </c>
      <c r="C809" t="s">
        <v>9</v>
      </c>
      <c r="D809" t="str">
        <f t="shared" si="16"/>
        <v>SATURN-Scorpio-Taurus</v>
      </c>
      <c r="E809" s="17" t="s">
        <v>107</v>
      </c>
      <c r="F809" s="18" t="s">
        <v>10</v>
      </c>
      <c r="G809" s="19" t="s">
        <v>21</v>
      </c>
      <c r="H809" s="20" t="s">
        <v>105</v>
      </c>
      <c r="I809" s="18" t="s">
        <v>23</v>
      </c>
      <c r="J809" s="21" t="s">
        <v>25</v>
      </c>
      <c r="K809" s="21"/>
      <c r="L809" s="21"/>
      <c r="M809" s="21"/>
    </row>
    <row r="810" spans="1:13" x14ac:dyDescent="0.25">
      <c r="A810" t="s">
        <v>26</v>
      </c>
      <c r="B810" s="16" t="s">
        <v>21</v>
      </c>
      <c r="C810" t="s">
        <v>12</v>
      </c>
      <c r="D810" t="str">
        <f t="shared" si="16"/>
        <v>SATURN-Scorpio-Gemini</v>
      </c>
      <c r="E810" s="17" t="s">
        <v>108</v>
      </c>
      <c r="F810" s="18" t="s">
        <v>18</v>
      </c>
      <c r="G810" s="19" t="s">
        <v>21</v>
      </c>
      <c r="H810" s="20" t="s">
        <v>106</v>
      </c>
      <c r="I810" s="18" t="s">
        <v>21</v>
      </c>
      <c r="J810" s="21" t="s">
        <v>25</v>
      </c>
      <c r="K810" s="21"/>
      <c r="L810" s="21"/>
      <c r="M810" s="21"/>
    </row>
    <row r="811" spans="1:13" x14ac:dyDescent="0.25">
      <c r="A811" t="s">
        <v>26</v>
      </c>
      <c r="B811" s="16" t="s">
        <v>21</v>
      </c>
      <c r="C811" t="s">
        <v>14</v>
      </c>
      <c r="D811" t="str">
        <f t="shared" si="16"/>
        <v>SATURN-Scorpio-Cancer</v>
      </c>
      <c r="E811" s="17" t="s">
        <v>109</v>
      </c>
      <c r="F811" s="18" t="s">
        <v>16</v>
      </c>
      <c r="G811" s="19" t="s">
        <v>21</v>
      </c>
      <c r="H811" s="20" t="s">
        <v>107</v>
      </c>
      <c r="I811" s="18" t="s">
        <v>10</v>
      </c>
      <c r="J811" s="21" t="s">
        <v>25</v>
      </c>
      <c r="K811" s="21"/>
      <c r="L811" s="21"/>
      <c r="M811" s="21"/>
    </row>
    <row r="812" spans="1:13" x14ac:dyDescent="0.25">
      <c r="A812" t="s">
        <v>26</v>
      </c>
      <c r="B812" s="16" t="s">
        <v>21</v>
      </c>
      <c r="C812" t="s">
        <v>16</v>
      </c>
      <c r="D812" t="str">
        <f t="shared" si="16"/>
        <v>SATURN-Scorpio-Leo</v>
      </c>
      <c r="E812" s="17" t="s">
        <v>99</v>
      </c>
      <c r="F812" s="18" t="s">
        <v>14</v>
      </c>
      <c r="G812" s="19" t="s">
        <v>21</v>
      </c>
      <c r="H812" s="20" t="s">
        <v>108</v>
      </c>
      <c r="I812" s="18" t="s">
        <v>18</v>
      </c>
      <c r="J812" s="21" t="s">
        <v>25</v>
      </c>
      <c r="K812" s="21"/>
      <c r="L812" s="21"/>
      <c r="M812" s="21"/>
    </row>
    <row r="813" spans="1:13" x14ac:dyDescent="0.25">
      <c r="A813" t="s">
        <v>26</v>
      </c>
      <c r="B813" s="16" t="s">
        <v>21</v>
      </c>
      <c r="C813" t="s">
        <v>18</v>
      </c>
      <c r="D813" t="str">
        <f t="shared" si="16"/>
        <v>SATURN-Scorpio-Virgo</v>
      </c>
      <c r="E813" s="17" t="s">
        <v>101</v>
      </c>
      <c r="F813" s="18" t="s">
        <v>12</v>
      </c>
      <c r="G813" s="19" t="s">
        <v>21</v>
      </c>
      <c r="H813" s="20" t="s">
        <v>109</v>
      </c>
      <c r="I813" s="18" t="s">
        <v>16</v>
      </c>
      <c r="J813" s="21" t="s">
        <v>25</v>
      </c>
      <c r="K813" s="21"/>
      <c r="L813" s="21"/>
      <c r="M813" s="21"/>
    </row>
    <row r="814" spans="1:13" x14ac:dyDescent="0.25">
      <c r="A814" t="s">
        <v>26</v>
      </c>
      <c r="B814" s="16" t="s">
        <v>21</v>
      </c>
      <c r="C814" t="s">
        <v>10</v>
      </c>
      <c r="D814" t="str">
        <f t="shared" si="16"/>
        <v>SATURN-Scorpio-Libra</v>
      </c>
      <c r="E814" s="17" t="s">
        <v>103</v>
      </c>
      <c r="F814" s="18" t="s">
        <v>9</v>
      </c>
      <c r="G814" s="19" t="s">
        <v>21</v>
      </c>
      <c r="H814" s="20" t="s">
        <v>99</v>
      </c>
      <c r="I814" s="18" t="s">
        <v>14</v>
      </c>
      <c r="J814" s="21" t="s">
        <v>25</v>
      </c>
      <c r="K814" s="21"/>
      <c r="L814" s="21"/>
      <c r="M814" s="21"/>
    </row>
    <row r="815" spans="1:13" x14ac:dyDescent="0.25">
      <c r="A815" t="s">
        <v>26</v>
      </c>
      <c r="B815" s="16" t="s">
        <v>21</v>
      </c>
      <c r="C815" t="s">
        <v>21</v>
      </c>
      <c r="D815" t="str">
        <f t="shared" si="16"/>
        <v>SATURN-Scorpio-Scorpio</v>
      </c>
      <c r="E815" s="17" t="s">
        <v>98</v>
      </c>
      <c r="F815" s="18" t="s">
        <v>7</v>
      </c>
      <c r="G815" s="19" t="s">
        <v>21</v>
      </c>
      <c r="H815" s="20" t="s">
        <v>101</v>
      </c>
      <c r="I815" s="18" t="s">
        <v>12</v>
      </c>
      <c r="J815" s="21" t="s">
        <v>25</v>
      </c>
      <c r="K815" s="21"/>
      <c r="L815" s="21"/>
      <c r="M815" s="21"/>
    </row>
    <row r="816" spans="1:13" x14ac:dyDescent="0.25">
      <c r="A816" t="s">
        <v>26</v>
      </c>
      <c r="B816" s="16" t="s">
        <v>21</v>
      </c>
      <c r="C816" t="s">
        <v>23</v>
      </c>
      <c r="D816" t="str">
        <f t="shared" si="16"/>
        <v>SATURN-Scorpio-Sagittarius</v>
      </c>
      <c r="E816" s="17" t="s">
        <v>100</v>
      </c>
      <c r="F816" s="18" t="s">
        <v>29</v>
      </c>
      <c r="G816" s="19" t="s">
        <v>21</v>
      </c>
      <c r="H816" s="20" t="s">
        <v>103</v>
      </c>
      <c r="I816" s="18" t="s">
        <v>9</v>
      </c>
      <c r="J816" s="21" t="s">
        <v>25</v>
      </c>
      <c r="K816" s="21"/>
      <c r="L816" s="21"/>
      <c r="M816" s="21"/>
    </row>
    <row r="817" spans="1:13" x14ac:dyDescent="0.25">
      <c r="A817" t="s">
        <v>26</v>
      </c>
      <c r="B817" s="16" t="s">
        <v>21</v>
      </c>
      <c r="C817" t="s">
        <v>25</v>
      </c>
      <c r="D817" t="str">
        <f t="shared" si="16"/>
        <v>SATURN-Scorpio-Capricorn</v>
      </c>
      <c r="E817" s="17" t="s">
        <v>102</v>
      </c>
      <c r="F817" s="18" t="s">
        <v>27</v>
      </c>
      <c r="G817" s="19" t="s">
        <v>21</v>
      </c>
      <c r="H817" s="20" t="s">
        <v>98</v>
      </c>
      <c r="I817" s="18" t="s">
        <v>7</v>
      </c>
      <c r="J817" s="21" t="s">
        <v>25</v>
      </c>
      <c r="K817" s="21"/>
      <c r="L817" s="21"/>
      <c r="M817" s="21"/>
    </row>
    <row r="818" spans="1:13" x14ac:dyDescent="0.25">
      <c r="A818" t="s">
        <v>26</v>
      </c>
      <c r="B818" s="16" t="s">
        <v>21</v>
      </c>
      <c r="C818" t="s">
        <v>27</v>
      </c>
      <c r="D818" t="str">
        <f t="shared" si="16"/>
        <v>SATURN-Scorpio-Aquarius</v>
      </c>
      <c r="E818" s="17" t="s">
        <v>104</v>
      </c>
      <c r="F818" s="18" t="s">
        <v>25</v>
      </c>
      <c r="G818" s="19" t="s">
        <v>21</v>
      </c>
      <c r="H818" s="20" t="s">
        <v>100</v>
      </c>
      <c r="I818" s="18" t="s">
        <v>29</v>
      </c>
      <c r="J818" s="21" t="s">
        <v>25</v>
      </c>
      <c r="K818" s="21"/>
      <c r="L818" s="21"/>
      <c r="M818" s="21"/>
    </row>
    <row r="819" spans="1:13" x14ac:dyDescent="0.25">
      <c r="A819" t="s">
        <v>26</v>
      </c>
      <c r="B819" s="16" t="s">
        <v>21</v>
      </c>
      <c r="C819" t="s">
        <v>29</v>
      </c>
      <c r="D819" t="str">
        <f t="shared" si="16"/>
        <v>SATURN-Scorpio-Pisces</v>
      </c>
      <c r="E819" s="17" t="s">
        <v>105</v>
      </c>
      <c r="F819" s="18" t="s">
        <v>23</v>
      </c>
      <c r="G819" s="19" t="s">
        <v>21</v>
      </c>
      <c r="H819" s="20" t="s">
        <v>102</v>
      </c>
      <c r="I819" s="18" t="s">
        <v>27</v>
      </c>
      <c r="J819" s="21" t="s">
        <v>25</v>
      </c>
      <c r="K819" s="21"/>
      <c r="L819" s="21"/>
      <c r="M819" s="21"/>
    </row>
    <row r="820" spans="1:13" x14ac:dyDescent="0.25">
      <c r="A820" t="s">
        <v>26</v>
      </c>
      <c r="B820" s="16" t="s">
        <v>23</v>
      </c>
      <c r="C820" t="s">
        <v>7</v>
      </c>
      <c r="D820" t="str">
        <f t="shared" si="16"/>
        <v>SATURN-Sagittarius-Aries</v>
      </c>
      <c r="E820" s="17" t="s">
        <v>105</v>
      </c>
      <c r="F820" s="18" t="s">
        <v>23</v>
      </c>
      <c r="G820" s="19" t="s">
        <v>23</v>
      </c>
      <c r="H820" s="20" t="s">
        <v>104</v>
      </c>
      <c r="I820" s="18" t="s">
        <v>25</v>
      </c>
      <c r="J820" s="21" t="s">
        <v>25</v>
      </c>
      <c r="K820" s="21"/>
      <c r="L820" s="21"/>
      <c r="M820" s="21"/>
    </row>
    <row r="821" spans="1:13" x14ac:dyDescent="0.25">
      <c r="A821" t="s">
        <v>26</v>
      </c>
      <c r="B821" s="16" t="s">
        <v>23</v>
      </c>
      <c r="C821" t="s">
        <v>9</v>
      </c>
      <c r="D821" t="str">
        <f t="shared" si="16"/>
        <v>SATURN-Sagittarius-Taurus</v>
      </c>
      <c r="E821" s="17" t="s">
        <v>106</v>
      </c>
      <c r="F821" s="18" t="s">
        <v>21</v>
      </c>
      <c r="G821" s="19" t="s">
        <v>23</v>
      </c>
      <c r="H821" s="20" t="s">
        <v>105</v>
      </c>
      <c r="I821" s="18" t="s">
        <v>23</v>
      </c>
      <c r="J821" s="21" t="s">
        <v>25</v>
      </c>
      <c r="K821" s="21"/>
      <c r="L821" s="21"/>
      <c r="M821" s="21"/>
    </row>
    <row r="822" spans="1:13" x14ac:dyDescent="0.25">
      <c r="A822" t="s">
        <v>26</v>
      </c>
      <c r="B822" s="16" t="s">
        <v>23</v>
      </c>
      <c r="C822" t="s">
        <v>12</v>
      </c>
      <c r="D822" t="str">
        <f t="shared" si="16"/>
        <v>SATURN-Sagittarius-Gemini</v>
      </c>
      <c r="E822" s="17" t="s">
        <v>107</v>
      </c>
      <c r="F822" s="18" t="s">
        <v>10</v>
      </c>
      <c r="G822" s="19" t="s">
        <v>23</v>
      </c>
      <c r="H822" s="20" t="s">
        <v>106</v>
      </c>
      <c r="I822" s="18" t="s">
        <v>21</v>
      </c>
      <c r="J822" s="21" t="s">
        <v>25</v>
      </c>
      <c r="K822" s="21"/>
      <c r="L822" s="21"/>
      <c r="M822" s="21"/>
    </row>
    <row r="823" spans="1:13" x14ac:dyDescent="0.25">
      <c r="A823" t="s">
        <v>26</v>
      </c>
      <c r="B823" s="16" t="s">
        <v>23</v>
      </c>
      <c r="C823" t="s">
        <v>14</v>
      </c>
      <c r="D823" t="str">
        <f t="shared" si="16"/>
        <v>SATURN-Sagittarius-Cancer</v>
      </c>
      <c r="E823" s="17" t="s">
        <v>108</v>
      </c>
      <c r="F823" s="18" t="s">
        <v>18</v>
      </c>
      <c r="G823" s="19" t="s">
        <v>23</v>
      </c>
      <c r="H823" s="20" t="s">
        <v>107</v>
      </c>
      <c r="I823" s="18" t="s">
        <v>10</v>
      </c>
      <c r="J823" s="21" t="s">
        <v>25</v>
      </c>
      <c r="K823" s="21"/>
      <c r="L823" s="21"/>
      <c r="M823" s="21"/>
    </row>
    <row r="824" spans="1:13" x14ac:dyDescent="0.25">
      <c r="A824" t="s">
        <v>26</v>
      </c>
      <c r="B824" s="16" t="s">
        <v>23</v>
      </c>
      <c r="C824" t="s">
        <v>16</v>
      </c>
      <c r="D824" t="str">
        <f t="shared" si="16"/>
        <v>SATURN-Sagittarius-Leo</v>
      </c>
      <c r="E824" s="17" t="s">
        <v>109</v>
      </c>
      <c r="F824" s="18" t="s">
        <v>16</v>
      </c>
      <c r="G824" s="19" t="s">
        <v>23</v>
      </c>
      <c r="H824" s="20" t="s">
        <v>108</v>
      </c>
      <c r="I824" s="18" t="s">
        <v>18</v>
      </c>
      <c r="J824" s="21" t="s">
        <v>25</v>
      </c>
      <c r="K824" s="21"/>
      <c r="L824" s="21"/>
      <c r="M824" s="21"/>
    </row>
    <row r="825" spans="1:13" x14ac:dyDescent="0.25">
      <c r="A825" t="s">
        <v>26</v>
      </c>
      <c r="B825" s="16" t="s">
        <v>23</v>
      </c>
      <c r="C825" t="s">
        <v>18</v>
      </c>
      <c r="D825" t="str">
        <f t="shared" si="16"/>
        <v>SATURN-Sagittarius-Virgo</v>
      </c>
      <c r="E825" s="17" t="s">
        <v>99</v>
      </c>
      <c r="F825" s="18" t="s">
        <v>14</v>
      </c>
      <c r="G825" s="19" t="s">
        <v>23</v>
      </c>
      <c r="H825" s="20" t="s">
        <v>109</v>
      </c>
      <c r="I825" s="18" t="s">
        <v>16</v>
      </c>
      <c r="J825" s="21" t="s">
        <v>25</v>
      </c>
      <c r="K825" s="21"/>
      <c r="L825" s="21"/>
      <c r="M825" s="21"/>
    </row>
    <row r="826" spans="1:13" x14ac:dyDescent="0.25">
      <c r="A826" t="s">
        <v>26</v>
      </c>
      <c r="B826" s="16" t="s">
        <v>23</v>
      </c>
      <c r="C826" t="s">
        <v>10</v>
      </c>
      <c r="D826" t="str">
        <f t="shared" si="16"/>
        <v>SATURN-Sagittarius-Libra</v>
      </c>
      <c r="E826" s="17" t="s">
        <v>101</v>
      </c>
      <c r="F826" s="18" t="s">
        <v>12</v>
      </c>
      <c r="G826" s="19" t="s">
        <v>23</v>
      </c>
      <c r="H826" s="20" t="s">
        <v>99</v>
      </c>
      <c r="I826" s="18" t="s">
        <v>14</v>
      </c>
      <c r="J826" s="21" t="s">
        <v>25</v>
      </c>
      <c r="K826" s="21"/>
      <c r="L826" s="21"/>
      <c r="M826" s="21"/>
    </row>
    <row r="827" spans="1:13" x14ac:dyDescent="0.25">
      <c r="A827" t="s">
        <v>26</v>
      </c>
      <c r="B827" s="16" t="s">
        <v>23</v>
      </c>
      <c r="C827" t="s">
        <v>21</v>
      </c>
      <c r="D827" t="str">
        <f t="shared" si="16"/>
        <v>SATURN-Sagittarius-Scorpio</v>
      </c>
      <c r="E827" s="17" t="s">
        <v>103</v>
      </c>
      <c r="F827" s="18" t="s">
        <v>9</v>
      </c>
      <c r="G827" s="19" t="s">
        <v>23</v>
      </c>
      <c r="H827" s="20" t="s">
        <v>101</v>
      </c>
      <c r="I827" s="18" t="s">
        <v>12</v>
      </c>
      <c r="J827" s="21" t="s">
        <v>25</v>
      </c>
      <c r="K827" s="21"/>
      <c r="L827" s="21"/>
      <c r="M827" s="21"/>
    </row>
    <row r="828" spans="1:13" x14ac:dyDescent="0.25">
      <c r="A828" t="s">
        <v>26</v>
      </c>
      <c r="B828" s="16" t="s">
        <v>23</v>
      </c>
      <c r="C828" t="s">
        <v>23</v>
      </c>
      <c r="D828" t="str">
        <f t="shared" si="16"/>
        <v>SATURN-Sagittarius-Sagittarius</v>
      </c>
      <c r="E828" s="17" t="s">
        <v>98</v>
      </c>
      <c r="F828" s="18" t="s">
        <v>7</v>
      </c>
      <c r="G828" s="19" t="s">
        <v>23</v>
      </c>
      <c r="H828" s="20" t="s">
        <v>103</v>
      </c>
      <c r="I828" s="18" t="s">
        <v>9</v>
      </c>
      <c r="J828" s="21" t="s">
        <v>25</v>
      </c>
      <c r="K828" s="21"/>
      <c r="L828" s="21"/>
      <c r="M828" s="21"/>
    </row>
    <row r="829" spans="1:13" x14ac:dyDescent="0.25">
      <c r="A829" t="s">
        <v>26</v>
      </c>
      <c r="B829" s="16" t="s">
        <v>23</v>
      </c>
      <c r="C829" t="s">
        <v>25</v>
      </c>
      <c r="D829" t="str">
        <f t="shared" si="16"/>
        <v>SATURN-Sagittarius-Capricorn</v>
      </c>
      <c r="E829" s="17" t="s">
        <v>100</v>
      </c>
      <c r="F829" s="18" t="s">
        <v>29</v>
      </c>
      <c r="G829" s="19" t="s">
        <v>23</v>
      </c>
      <c r="H829" s="20" t="s">
        <v>98</v>
      </c>
      <c r="I829" s="18" t="s">
        <v>7</v>
      </c>
      <c r="J829" s="21" t="s">
        <v>25</v>
      </c>
      <c r="K829" s="21"/>
      <c r="L829" s="21"/>
      <c r="M829" s="21"/>
    </row>
    <row r="830" spans="1:13" x14ac:dyDescent="0.25">
      <c r="A830" t="s">
        <v>26</v>
      </c>
      <c r="B830" s="16" t="s">
        <v>23</v>
      </c>
      <c r="C830" t="s">
        <v>27</v>
      </c>
      <c r="D830" t="str">
        <f t="shared" si="16"/>
        <v>SATURN-Sagittarius-Aquarius</v>
      </c>
      <c r="E830" s="17" t="s">
        <v>102</v>
      </c>
      <c r="F830" s="18" t="s">
        <v>27</v>
      </c>
      <c r="G830" s="19" t="s">
        <v>23</v>
      </c>
      <c r="H830" s="20" t="s">
        <v>100</v>
      </c>
      <c r="I830" s="18" t="s">
        <v>29</v>
      </c>
      <c r="J830" s="21" t="s">
        <v>25</v>
      </c>
      <c r="K830" s="21"/>
      <c r="L830" s="21"/>
      <c r="M830" s="21"/>
    </row>
    <row r="831" spans="1:13" x14ac:dyDescent="0.25">
      <c r="A831" t="s">
        <v>26</v>
      </c>
      <c r="B831" s="16" t="s">
        <v>23</v>
      </c>
      <c r="C831" t="s">
        <v>29</v>
      </c>
      <c r="D831" t="str">
        <f t="shared" si="16"/>
        <v>SATURN-Sagittarius-Pisces</v>
      </c>
      <c r="E831" s="17" t="s">
        <v>104</v>
      </c>
      <c r="F831" s="18" t="s">
        <v>25</v>
      </c>
      <c r="G831" s="19" t="s">
        <v>23</v>
      </c>
      <c r="H831" s="20" t="s">
        <v>102</v>
      </c>
      <c r="I831" s="18" t="s">
        <v>27</v>
      </c>
      <c r="J831" s="21" t="s">
        <v>25</v>
      </c>
      <c r="K831" s="21"/>
      <c r="L831" s="21"/>
      <c r="M831" s="21"/>
    </row>
    <row r="832" spans="1:13" x14ac:dyDescent="0.25">
      <c r="A832" t="s">
        <v>26</v>
      </c>
      <c r="B832" s="16" t="s">
        <v>25</v>
      </c>
      <c r="C832" t="s">
        <v>7</v>
      </c>
      <c r="D832" t="str">
        <f t="shared" si="16"/>
        <v>SATURN-Capricorn-Aries</v>
      </c>
      <c r="E832" s="17" t="s">
        <v>104</v>
      </c>
      <c r="F832" s="18" t="s">
        <v>25</v>
      </c>
      <c r="G832" s="19" t="s">
        <v>25</v>
      </c>
      <c r="H832" s="20" t="s">
        <v>104</v>
      </c>
      <c r="I832" s="18" t="s">
        <v>25</v>
      </c>
      <c r="J832" s="21" t="s">
        <v>25</v>
      </c>
      <c r="K832" s="21"/>
      <c r="L832" s="21"/>
      <c r="M832" s="21"/>
    </row>
    <row r="833" spans="1:13" x14ac:dyDescent="0.25">
      <c r="A833" t="s">
        <v>26</v>
      </c>
      <c r="B833" s="16" t="s">
        <v>25</v>
      </c>
      <c r="C833" t="s">
        <v>9</v>
      </c>
      <c r="D833" t="str">
        <f t="shared" si="16"/>
        <v>SATURN-Capricorn-Taurus</v>
      </c>
      <c r="E833" s="17" t="s">
        <v>105</v>
      </c>
      <c r="F833" s="18" t="s">
        <v>23</v>
      </c>
      <c r="G833" s="19" t="s">
        <v>25</v>
      </c>
      <c r="H833" s="20" t="s">
        <v>105</v>
      </c>
      <c r="I833" s="18" t="s">
        <v>23</v>
      </c>
      <c r="J833" s="21" t="s">
        <v>25</v>
      </c>
      <c r="K833" s="21"/>
      <c r="L833" s="21"/>
      <c r="M833" s="21"/>
    </row>
    <row r="834" spans="1:13" x14ac:dyDescent="0.25">
      <c r="A834" t="s">
        <v>26</v>
      </c>
      <c r="B834" s="16" t="s">
        <v>25</v>
      </c>
      <c r="C834" t="s">
        <v>12</v>
      </c>
      <c r="D834" t="str">
        <f t="shared" si="16"/>
        <v>SATURN-Capricorn-Gemini</v>
      </c>
      <c r="E834" s="17" t="s">
        <v>106</v>
      </c>
      <c r="F834" s="18" t="s">
        <v>21</v>
      </c>
      <c r="G834" s="19" t="s">
        <v>25</v>
      </c>
      <c r="H834" s="20" t="s">
        <v>106</v>
      </c>
      <c r="I834" s="18" t="s">
        <v>21</v>
      </c>
      <c r="J834" s="21" t="s">
        <v>25</v>
      </c>
      <c r="K834" s="21"/>
      <c r="L834" s="21"/>
      <c r="M834" s="21"/>
    </row>
    <row r="835" spans="1:13" x14ac:dyDescent="0.25">
      <c r="A835" t="s">
        <v>26</v>
      </c>
      <c r="B835" s="16" t="s">
        <v>25</v>
      </c>
      <c r="C835" t="s">
        <v>14</v>
      </c>
      <c r="D835" t="str">
        <f t="shared" si="16"/>
        <v>SATURN-Capricorn-Cancer</v>
      </c>
      <c r="E835" s="17" t="s">
        <v>107</v>
      </c>
      <c r="F835" s="18" t="s">
        <v>10</v>
      </c>
      <c r="G835" s="19" t="s">
        <v>25</v>
      </c>
      <c r="H835" s="20" t="s">
        <v>107</v>
      </c>
      <c r="I835" s="18" t="s">
        <v>10</v>
      </c>
      <c r="J835" s="21" t="s">
        <v>25</v>
      </c>
      <c r="K835" s="21"/>
      <c r="L835" s="21"/>
      <c r="M835" s="21"/>
    </row>
    <row r="836" spans="1:13" x14ac:dyDescent="0.25">
      <c r="A836" t="s">
        <v>26</v>
      </c>
      <c r="B836" s="16" t="s">
        <v>25</v>
      </c>
      <c r="C836" t="s">
        <v>16</v>
      </c>
      <c r="D836" t="str">
        <f t="shared" si="16"/>
        <v>SATURN-Capricorn-Leo</v>
      </c>
      <c r="E836" s="17" t="s">
        <v>108</v>
      </c>
      <c r="F836" s="18" t="s">
        <v>18</v>
      </c>
      <c r="G836" s="19" t="s">
        <v>25</v>
      </c>
      <c r="H836" s="20" t="s">
        <v>108</v>
      </c>
      <c r="I836" s="18" t="s">
        <v>18</v>
      </c>
      <c r="J836" s="21" t="s">
        <v>25</v>
      </c>
      <c r="K836" s="21"/>
      <c r="L836" s="21"/>
      <c r="M836" s="21"/>
    </row>
    <row r="837" spans="1:13" x14ac:dyDescent="0.25">
      <c r="A837" t="s">
        <v>26</v>
      </c>
      <c r="B837" s="16" t="s">
        <v>25</v>
      </c>
      <c r="C837" t="s">
        <v>18</v>
      </c>
      <c r="D837" t="str">
        <f t="shared" si="16"/>
        <v>SATURN-Capricorn-Virgo</v>
      </c>
      <c r="E837" s="17" t="s">
        <v>109</v>
      </c>
      <c r="F837" s="18" t="s">
        <v>16</v>
      </c>
      <c r="G837" s="19" t="s">
        <v>25</v>
      </c>
      <c r="H837" s="20" t="s">
        <v>109</v>
      </c>
      <c r="I837" s="18" t="s">
        <v>16</v>
      </c>
      <c r="J837" s="21" t="s">
        <v>25</v>
      </c>
      <c r="K837" s="21"/>
      <c r="L837" s="21"/>
      <c r="M837" s="21"/>
    </row>
    <row r="838" spans="1:13" x14ac:dyDescent="0.25">
      <c r="A838" t="s">
        <v>26</v>
      </c>
      <c r="B838" s="16" t="s">
        <v>25</v>
      </c>
      <c r="C838" t="s">
        <v>10</v>
      </c>
      <c r="D838" t="str">
        <f t="shared" si="16"/>
        <v>SATURN-Capricorn-Libra</v>
      </c>
      <c r="E838" s="17" t="s">
        <v>99</v>
      </c>
      <c r="F838" s="18" t="s">
        <v>14</v>
      </c>
      <c r="G838" s="19" t="s">
        <v>25</v>
      </c>
      <c r="H838" s="20" t="s">
        <v>99</v>
      </c>
      <c r="I838" s="18" t="s">
        <v>14</v>
      </c>
      <c r="J838" s="21" t="s">
        <v>25</v>
      </c>
      <c r="K838" s="21"/>
      <c r="L838" s="21"/>
      <c r="M838" s="21"/>
    </row>
    <row r="839" spans="1:13" x14ac:dyDescent="0.25">
      <c r="A839" t="s">
        <v>26</v>
      </c>
      <c r="B839" s="16" t="s">
        <v>25</v>
      </c>
      <c r="C839" t="s">
        <v>21</v>
      </c>
      <c r="D839" t="str">
        <f t="shared" si="16"/>
        <v>SATURN-Capricorn-Scorpio</v>
      </c>
      <c r="E839" s="17" t="s">
        <v>101</v>
      </c>
      <c r="F839" s="18" t="s">
        <v>12</v>
      </c>
      <c r="G839" s="19" t="s">
        <v>25</v>
      </c>
      <c r="H839" s="20" t="s">
        <v>101</v>
      </c>
      <c r="I839" s="18" t="s">
        <v>12</v>
      </c>
      <c r="J839" s="21" t="s">
        <v>25</v>
      </c>
      <c r="K839" s="21"/>
      <c r="L839" s="21"/>
      <c r="M839" s="21"/>
    </row>
    <row r="840" spans="1:13" x14ac:dyDescent="0.25">
      <c r="A840" t="s">
        <v>26</v>
      </c>
      <c r="B840" s="16" t="s">
        <v>25</v>
      </c>
      <c r="C840" t="s">
        <v>23</v>
      </c>
      <c r="D840" t="str">
        <f t="shared" si="16"/>
        <v>SATURN-Capricorn-Sagittarius</v>
      </c>
      <c r="E840" s="17" t="s">
        <v>103</v>
      </c>
      <c r="F840" s="18" t="s">
        <v>9</v>
      </c>
      <c r="G840" s="19" t="s">
        <v>25</v>
      </c>
      <c r="H840" s="20" t="s">
        <v>103</v>
      </c>
      <c r="I840" s="18" t="s">
        <v>9</v>
      </c>
      <c r="J840" s="21" t="s">
        <v>25</v>
      </c>
      <c r="K840" s="21"/>
      <c r="L840" s="21"/>
      <c r="M840" s="21"/>
    </row>
    <row r="841" spans="1:13" x14ac:dyDescent="0.25">
      <c r="A841" t="s">
        <v>26</v>
      </c>
      <c r="B841" s="16" t="s">
        <v>25</v>
      </c>
      <c r="C841" t="s">
        <v>25</v>
      </c>
      <c r="D841" t="str">
        <f t="shared" si="16"/>
        <v>SATURN-Capricorn-Capricorn</v>
      </c>
      <c r="E841" s="17" t="s">
        <v>98</v>
      </c>
      <c r="F841" s="18" t="s">
        <v>7</v>
      </c>
      <c r="G841" s="19" t="s">
        <v>25</v>
      </c>
      <c r="H841" s="20" t="s">
        <v>98</v>
      </c>
      <c r="I841" s="18" t="s">
        <v>7</v>
      </c>
      <c r="J841" s="21" t="s">
        <v>25</v>
      </c>
      <c r="K841" s="21"/>
      <c r="L841" s="21"/>
      <c r="M841" s="21"/>
    </row>
    <row r="842" spans="1:13" x14ac:dyDescent="0.25">
      <c r="A842" t="s">
        <v>26</v>
      </c>
      <c r="B842" s="16" t="s">
        <v>25</v>
      </c>
      <c r="C842" t="s">
        <v>27</v>
      </c>
      <c r="D842" t="str">
        <f t="shared" si="16"/>
        <v>SATURN-Capricorn-Aquarius</v>
      </c>
      <c r="E842" s="17" t="s">
        <v>100</v>
      </c>
      <c r="F842" s="18" t="s">
        <v>29</v>
      </c>
      <c r="G842" s="19" t="s">
        <v>25</v>
      </c>
      <c r="H842" s="20" t="s">
        <v>100</v>
      </c>
      <c r="I842" s="18" t="s">
        <v>29</v>
      </c>
      <c r="J842" s="21" t="s">
        <v>25</v>
      </c>
      <c r="K842" s="21"/>
      <c r="L842" s="21"/>
      <c r="M842" s="21"/>
    </row>
    <row r="843" spans="1:13" x14ac:dyDescent="0.25">
      <c r="A843" t="s">
        <v>26</v>
      </c>
      <c r="B843" s="16" t="s">
        <v>25</v>
      </c>
      <c r="C843" t="s">
        <v>29</v>
      </c>
      <c r="D843" t="str">
        <f t="shared" si="16"/>
        <v>SATURN-Capricorn-Pisces</v>
      </c>
      <c r="E843" s="17" t="s">
        <v>102</v>
      </c>
      <c r="F843" s="18" t="s">
        <v>27</v>
      </c>
      <c r="G843" s="19" t="s">
        <v>25</v>
      </c>
      <c r="H843" s="20" t="s">
        <v>102</v>
      </c>
      <c r="I843" s="18" t="s">
        <v>27</v>
      </c>
      <c r="J843" s="21" t="s">
        <v>25</v>
      </c>
      <c r="K843" s="21"/>
      <c r="L843" s="21"/>
      <c r="M843" s="21"/>
    </row>
    <row r="844" spans="1:13" x14ac:dyDescent="0.25">
      <c r="A844" t="s">
        <v>26</v>
      </c>
      <c r="B844" s="16" t="s">
        <v>27</v>
      </c>
      <c r="C844" t="s">
        <v>7</v>
      </c>
      <c r="D844" t="str">
        <f t="shared" si="16"/>
        <v>SATURN-Aquarius-Aries</v>
      </c>
      <c r="E844" s="17" t="s">
        <v>102</v>
      </c>
      <c r="F844" s="18" t="s">
        <v>27</v>
      </c>
      <c r="G844" s="19" t="s">
        <v>27</v>
      </c>
      <c r="H844" s="20" t="s">
        <v>104</v>
      </c>
      <c r="I844" s="18" t="s">
        <v>25</v>
      </c>
      <c r="J844" s="21" t="s">
        <v>25</v>
      </c>
      <c r="K844" s="21"/>
      <c r="L844" s="21"/>
      <c r="M844" s="21"/>
    </row>
    <row r="845" spans="1:13" x14ac:dyDescent="0.25">
      <c r="A845" t="s">
        <v>26</v>
      </c>
      <c r="B845" s="16" t="s">
        <v>27</v>
      </c>
      <c r="C845" t="s">
        <v>9</v>
      </c>
      <c r="D845" t="str">
        <f t="shared" si="16"/>
        <v>SATURN-Aquarius-Taurus</v>
      </c>
      <c r="E845" s="17" t="s">
        <v>104</v>
      </c>
      <c r="F845" s="18" t="s">
        <v>25</v>
      </c>
      <c r="G845" s="19" t="s">
        <v>27</v>
      </c>
      <c r="H845" s="20" t="s">
        <v>105</v>
      </c>
      <c r="I845" s="18" t="s">
        <v>23</v>
      </c>
      <c r="J845" s="21" t="s">
        <v>25</v>
      </c>
      <c r="K845" s="21"/>
      <c r="L845" s="21"/>
      <c r="M845" s="21"/>
    </row>
    <row r="846" spans="1:13" x14ac:dyDescent="0.25">
      <c r="A846" t="s">
        <v>26</v>
      </c>
      <c r="B846" s="16" t="s">
        <v>27</v>
      </c>
      <c r="C846" t="s">
        <v>12</v>
      </c>
      <c r="D846" t="str">
        <f t="shared" si="16"/>
        <v>SATURN-Aquarius-Gemini</v>
      </c>
      <c r="E846" s="17" t="s">
        <v>105</v>
      </c>
      <c r="F846" s="18" t="s">
        <v>23</v>
      </c>
      <c r="G846" s="19" t="s">
        <v>27</v>
      </c>
      <c r="H846" s="20" t="s">
        <v>106</v>
      </c>
      <c r="I846" s="18" t="s">
        <v>21</v>
      </c>
      <c r="J846" s="21" t="s">
        <v>25</v>
      </c>
      <c r="K846" s="21"/>
      <c r="L846" s="21"/>
      <c r="M846" s="21"/>
    </row>
    <row r="847" spans="1:13" x14ac:dyDescent="0.25">
      <c r="A847" t="s">
        <v>26</v>
      </c>
      <c r="B847" s="16" t="s">
        <v>27</v>
      </c>
      <c r="C847" t="s">
        <v>14</v>
      </c>
      <c r="D847" t="str">
        <f t="shared" si="16"/>
        <v>SATURN-Aquarius-Cancer</v>
      </c>
      <c r="E847" s="17" t="s">
        <v>106</v>
      </c>
      <c r="F847" s="18" t="s">
        <v>21</v>
      </c>
      <c r="G847" s="19" t="s">
        <v>27</v>
      </c>
      <c r="H847" s="20" t="s">
        <v>107</v>
      </c>
      <c r="I847" s="18" t="s">
        <v>10</v>
      </c>
      <c r="J847" s="21" t="s">
        <v>25</v>
      </c>
      <c r="K847" s="21"/>
      <c r="L847" s="21"/>
      <c r="M847" s="21"/>
    </row>
    <row r="848" spans="1:13" x14ac:dyDescent="0.25">
      <c r="A848" t="s">
        <v>26</v>
      </c>
      <c r="B848" s="16" t="s">
        <v>27</v>
      </c>
      <c r="C848" t="s">
        <v>16</v>
      </c>
      <c r="D848" t="str">
        <f t="shared" si="16"/>
        <v>SATURN-Aquarius-Leo</v>
      </c>
      <c r="E848" s="17" t="s">
        <v>107</v>
      </c>
      <c r="F848" s="18" t="s">
        <v>10</v>
      </c>
      <c r="G848" s="19" t="s">
        <v>27</v>
      </c>
      <c r="H848" s="20" t="s">
        <v>108</v>
      </c>
      <c r="I848" s="18" t="s">
        <v>18</v>
      </c>
      <c r="J848" s="21" t="s">
        <v>25</v>
      </c>
      <c r="K848" s="21"/>
      <c r="L848" s="21"/>
      <c r="M848" s="21"/>
    </row>
    <row r="849" spans="1:13" x14ac:dyDescent="0.25">
      <c r="A849" t="s">
        <v>26</v>
      </c>
      <c r="B849" s="16" t="s">
        <v>27</v>
      </c>
      <c r="C849" t="s">
        <v>18</v>
      </c>
      <c r="D849" t="str">
        <f t="shared" si="16"/>
        <v>SATURN-Aquarius-Virgo</v>
      </c>
      <c r="E849" s="17" t="s">
        <v>108</v>
      </c>
      <c r="F849" s="18" t="s">
        <v>18</v>
      </c>
      <c r="G849" s="19" t="s">
        <v>27</v>
      </c>
      <c r="H849" s="20" t="s">
        <v>109</v>
      </c>
      <c r="I849" s="18" t="s">
        <v>16</v>
      </c>
      <c r="J849" s="21" t="s">
        <v>25</v>
      </c>
      <c r="K849" s="21"/>
      <c r="L849" s="21"/>
      <c r="M849" s="21"/>
    </row>
    <row r="850" spans="1:13" x14ac:dyDescent="0.25">
      <c r="A850" t="s">
        <v>26</v>
      </c>
      <c r="B850" s="16" t="s">
        <v>27</v>
      </c>
      <c r="C850" t="s">
        <v>10</v>
      </c>
      <c r="D850" t="str">
        <f t="shared" si="16"/>
        <v>SATURN-Aquarius-Libra</v>
      </c>
      <c r="E850" s="17" t="s">
        <v>109</v>
      </c>
      <c r="F850" s="18" t="s">
        <v>16</v>
      </c>
      <c r="G850" s="19" t="s">
        <v>27</v>
      </c>
      <c r="H850" s="20" t="s">
        <v>99</v>
      </c>
      <c r="I850" s="18" t="s">
        <v>14</v>
      </c>
      <c r="J850" s="21" t="s">
        <v>25</v>
      </c>
      <c r="K850" s="21"/>
      <c r="L850" s="21"/>
      <c r="M850" s="21"/>
    </row>
    <row r="851" spans="1:13" x14ac:dyDescent="0.25">
      <c r="A851" t="s">
        <v>26</v>
      </c>
      <c r="B851" s="16" t="s">
        <v>27</v>
      </c>
      <c r="C851" t="s">
        <v>21</v>
      </c>
      <c r="D851" t="str">
        <f t="shared" si="16"/>
        <v>SATURN-Aquarius-Scorpio</v>
      </c>
      <c r="E851" s="17" t="s">
        <v>99</v>
      </c>
      <c r="F851" s="18" t="s">
        <v>14</v>
      </c>
      <c r="G851" s="19" t="s">
        <v>27</v>
      </c>
      <c r="H851" s="20" t="s">
        <v>101</v>
      </c>
      <c r="I851" s="18" t="s">
        <v>12</v>
      </c>
      <c r="J851" s="21" t="s">
        <v>25</v>
      </c>
      <c r="K851" s="21"/>
      <c r="L851" s="21"/>
      <c r="M851" s="21"/>
    </row>
    <row r="852" spans="1:13" x14ac:dyDescent="0.25">
      <c r="A852" t="s">
        <v>26</v>
      </c>
      <c r="B852" s="16" t="s">
        <v>27</v>
      </c>
      <c r="C852" t="s">
        <v>23</v>
      </c>
      <c r="D852" t="str">
        <f t="shared" si="16"/>
        <v>SATURN-Aquarius-Sagittarius</v>
      </c>
      <c r="E852" s="17" t="s">
        <v>101</v>
      </c>
      <c r="F852" s="18" t="s">
        <v>12</v>
      </c>
      <c r="G852" s="19" t="s">
        <v>27</v>
      </c>
      <c r="H852" s="20" t="s">
        <v>103</v>
      </c>
      <c r="I852" s="18" t="s">
        <v>9</v>
      </c>
      <c r="J852" s="21" t="s">
        <v>25</v>
      </c>
      <c r="K852" s="21"/>
      <c r="L852" s="21"/>
      <c r="M852" s="21"/>
    </row>
    <row r="853" spans="1:13" x14ac:dyDescent="0.25">
      <c r="A853" t="s">
        <v>26</v>
      </c>
      <c r="B853" s="16" t="s">
        <v>27</v>
      </c>
      <c r="C853" t="s">
        <v>25</v>
      </c>
      <c r="D853" t="str">
        <f t="shared" ref="D853:D867" si="17">A853&amp;"-"&amp;B853&amp;"-"&amp;C853</f>
        <v>SATURN-Aquarius-Capricorn</v>
      </c>
      <c r="E853" s="17" t="s">
        <v>103</v>
      </c>
      <c r="F853" s="18" t="s">
        <v>9</v>
      </c>
      <c r="G853" s="19" t="s">
        <v>27</v>
      </c>
      <c r="H853" s="20" t="s">
        <v>98</v>
      </c>
      <c r="I853" s="18" t="s">
        <v>7</v>
      </c>
      <c r="J853" s="21" t="s">
        <v>25</v>
      </c>
      <c r="K853" s="21"/>
      <c r="L853" s="21"/>
      <c r="M853" s="21"/>
    </row>
    <row r="854" spans="1:13" x14ac:dyDescent="0.25">
      <c r="A854" t="s">
        <v>26</v>
      </c>
      <c r="B854" s="16" t="s">
        <v>27</v>
      </c>
      <c r="C854" t="s">
        <v>27</v>
      </c>
      <c r="D854" t="str">
        <f t="shared" si="17"/>
        <v>SATURN-Aquarius-Aquarius</v>
      </c>
      <c r="E854" s="17" t="s">
        <v>98</v>
      </c>
      <c r="F854" s="18" t="s">
        <v>7</v>
      </c>
      <c r="G854" s="19" t="s">
        <v>27</v>
      </c>
      <c r="H854" s="20" t="s">
        <v>100</v>
      </c>
      <c r="I854" s="18" t="s">
        <v>29</v>
      </c>
      <c r="J854" s="21" t="s">
        <v>25</v>
      </c>
      <c r="K854" s="21"/>
      <c r="L854" s="21"/>
      <c r="M854" s="21"/>
    </row>
    <row r="855" spans="1:13" x14ac:dyDescent="0.25">
      <c r="A855" t="s">
        <v>26</v>
      </c>
      <c r="B855" s="16" t="s">
        <v>27</v>
      </c>
      <c r="C855" t="s">
        <v>29</v>
      </c>
      <c r="D855" t="str">
        <f t="shared" si="17"/>
        <v>SATURN-Aquarius-Pisces</v>
      </c>
      <c r="E855" s="17" t="s">
        <v>100</v>
      </c>
      <c r="F855" s="18" t="s">
        <v>29</v>
      </c>
      <c r="G855" s="19" t="s">
        <v>27</v>
      </c>
      <c r="H855" s="20" t="s">
        <v>102</v>
      </c>
      <c r="I855" s="18" t="s">
        <v>27</v>
      </c>
      <c r="J855" s="21" t="s">
        <v>25</v>
      </c>
      <c r="K855" s="21"/>
      <c r="L855" s="21"/>
      <c r="M855" s="21"/>
    </row>
    <row r="856" spans="1:13" x14ac:dyDescent="0.25">
      <c r="A856" t="s">
        <v>26</v>
      </c>
      <c r="B856" s="16" t="s">
        <v>29</v>
      </c>
      <c r="C856" t="s">
        <v>7</v>
      </c>
      <c r="D856" t="str">
        <f t="shared" si="17"/>
        <v>SATURN-Pisces-Aries</v>
      </c>
      <c r="E856" s="17" t="s">
        <v>100</v>
      </c>
      <c r="F856" s="18" t="s">
        <v>29</v>
      </c>
      <c r="G856" s="19" t="s">
        <v>29</v>
      </c>
      <c r="H856" s="20" t="s">
        <v>104</v>
      </c>
      <c r="I856" s="18" t="s">
        <v>25</v>
      </c>
      <c r="J856" s="21" t="s">
        <v>25</v>
      </c>
      <c r="K856" s="21"/>
      <c r="L856" s="21"/>
      <c r="M856" s="21"/>
    </row>
    <row r="857" spans="1:13" x14ac:dyDescent="0.25">
      <c r="A857" t="s">
        <v>26</v>
      </c>
      <c r="B857" s="16" t="s">
        <v>29</v>
      </c>
      <c r="C857" t="s">
        <v>9</v>
      </c>
      <c r="D857" t="str">
        <f t="shared" si="17"/>
        <v>SATURN-Pisces-Taurus</v>
      </c>
      <c r="E857" s="17" t="s">
        <v>102</v>
      </c>
      <c r="F857" s="18" t="s">
        <v>27</v>
      </c>
      <c r="G857" s="19" t="s">
        <v>29</v>
      </c>
      <c r="H857" s="20" t="s">
        <v>105</v>
      </c>
      <c r="I857" s="18" t="s">
        <v>23</v>
      </c>
      <c r="J857" s="21" t="s">
        <v>25</v>
      </c>
      <c r="K857" s="21"/>
      <c r="L857" s="21"/>
      <c r="M857" s="21"/>
    </row>
    <row r="858" spans="1:13" x14ac:dyDescent="0.25">
      <c r="A858" t="s">
        <v>26</v>
      </c>
      <c r="B858" s="16" t="s">
        <v>29</v>
      </c>
      <c r="C858" t="s">
        <v>12</v>
      </c>
      <c r="D858" t="str">
        <f t="shared" si="17"/>
        <v>SATURN-Pisces-Gemini</v>
      </c>
      <c r="E858" s="17" t="s">
        <v>104</v>
      </c>
      <c r="F858" s="18" t="s">
        <v>25</v>
      </c>
      <c r="G858" s="19" t="s">
        <v>29</v>
      </c>
      <c r="H858" s="20" t="s">
        <v>106</v>
      </c>
      <c r="I858" s="18" t="s">
        <v>21</v>
      </c>
      <c r="J858" s="21" t="s">
        <v>25</v>
      </c>
      <c r="K858" s="21"/>
      <c r="L858" s="21"/>
      <c r="M858" s="21"/>
    </row>
    <row r="859" spans="1:13" x14ac:dyDescent="0.25">
      <c r="A859" t="s">
        <v>26</v>
      </c>
      <c r="B859" s="16" t="s">
        <v>29</v>
      </c>
      <c r="C859" t="s">
        <v>14</v>
      </c>
      <c r="D859" t="str">
        <f t="shared" si="17"/>
        <v>SATURN-Pisces-Cancer</v>
      </c>
      <c r="E859" s="17" t="s">
        <v>105</v>
      </c>
      <c r="F859" s="18" t="s">
        <v>23</v>
      </c>
      <c r="G859" s="19" t="s">
        <v>29</v>
      </c>
      <c r="H859" s="20" t="s">
        <v>107</v>
      </c>
      <c r="I859" s="18" t="s">
        <v>10</v>
      </c>
      <c r="J859" s="21" t="s">
        <v>25</v>
      </c>
      <c r="K859" s="21"/>
      <c r="L859" s="21"/>
      <c r="M859" s="21"/>
    </row>
    <row r="860" spans="1:13" x14ac:dyDescent="0.25">
      <c r="A860" t="s">
        <v>26</v>
      </c>
      <c r="B860" s="16" t="s">
        <v>29</v>
      </c>
      <c r="C860" t="s">
        <v>16</v>
      </c>
      <c r="D860" t="str">
        <f t="shared" si="17"/>
        <v>SATURN-Pisces-Leo</v>
      </c>
      <c r="E860" s="17" t="s">
        <v>106</v>
      </c>
      <c r="F860" s="18" t="s">
        <v>21</v>
      </c>
      <c r="G860" s="19" t="s">
        <v>29</v>
      </c>
      <c r="H860" s="20" t="s">
        <v>108</v>
      </c>
      <c r="I860" s="18" t="s">
        <v>18</v>
      </c>
      <c r="J860" s="21" t="s">
        <v>25</v>
      </c>
      <c r="K860" s="21"/>
      <c r="L860" s="21"/>
      <c r="M860" s="21"/>
    </row>
    <row r="861" spans="1:13" x14ac:dyDescent="0.25">
      <c r="A861" t="s">
        <v>26</v>
      </c>
      <c r="B861" s="16" t="s">
        <v>29</v>
      </c>
      <c r="C861" t="s">
        <v>18</v>
      </c>
      <c r="D861" t="str">
        <f t="shared" si="17"/>
        <v>SATURN-Pisces-Virgo</v>
      </c>
      <c r="E861" s="17" t="s">
        <v>107</v>
      </c>
      <c r="F861" s="18" t="s">
        <v>10</v>
      </c>
      <c r="G861" s="19" t="s">
        <v>29</v>
      </c>
      <c r="H861" s="20" t="s">
        <v>109</v>
      </c>
      <c r="I861" s="18" t="s">
        <v>16</v>
      </c>
      <c r="J861" s="21" t="s">
        <v>25</v>
      </c>
      <c r="K861" s="21"/>
      <c r="L861" s="21"/>
      <c r="M861" s="21"/>
    </row>
    <row r="862" spans="1:13" x14ac:dyDescent="0.25">
      <c r="A862" t="s">
        <v>26</v>
      </c>
      <c r="B862" s="16" t="s">
        <v>29</v>
      </c>
      <c r="C862" t="s">
        <v>10</v>
      </c>
      <c r="D862" t="str">
        <f t="shared" si="17"/>
        <v>SATURN-Pisces-Libra</v>
      </c>
      <c r="E862" s="17" t="s">
        <v>108</v>
      </c>
      <c r="F862" s="18" t="s">
        <v>18</v>
      </c>
      <c r="G862" s="19" t="s">
        <v>29</v>
      </c>
      <c r="H862" s="20" t="s">
        <v>99</v>
      </c>
      <c r="I862" s="18" t="s">
        <v>14</v>
      </c>
      <c r="J862" s="21" t="s">
        <v>25</v>
      </c>
      <c r="K862" s="21"/>
      <c r="L862" s="21"/>
      <c r="M862" s="21"/>
    </row>
    <row r="863" spans="1:13" x14ac:dyDescent="0.25">
      <c r="A863" t="s">
        <v>26</v>
      </c>
      <c r="B863" s="16" t="s">
        <v>29</v>
      </c>
      <c r="C863" t="s">
        <v>21</v>
      </c>
      <c r="D863" t="str">
        <f t="shared" si="17"/>
        <v>SATURN-Pisces-Scorpio</v>
      </c>
      <c r="E863" s="17" t="s">
        <v>109</v>
      </c>
      <c r="F863" s="18" t="s">
        <v>16</v>
      </c>
      <c r="G863" s="19" t="s">
        <v>29</v>
      </c>
      <c r="H863" s="20" t="s">
        <v>101</v>
      </c>
      <c r="I863" s="18" t="s">
        <v>12</v>
      </c>
      <c r="J863" s="21" t="s">
        <v>25</v>
      </c>
      <c r="K863" s="21"/>
      <c r="L863" s="21"/>
      <c r="M863" s="21"/>
    </row>
    <row r="864" spans="1:13" x14ac:dyDescent="0.25">
      <c r="A864" t="s">
        <v>26</v>
      </c>
      <c r="B864" s="16" t="s">
        <v>29</v>
      </c>
      <c r="C864" t="s">
        <v>23</v>
      </c>
      <c r="D864" t="str">
        <f t="shared" si="17"/>
        <v>SATURN-Pisces-Sagittarius</v>
      </c>
      <c r="E864" s="17" t="s">
        <v>99</v>
      </c>
      <c r="F864" s="18" t="s">
        <v>14</v>
      </c>
      <c r="G864" s="19" t="s">
        <v>29</v>
      </c>
      <c r="H864" s="20" t="s">
        <v>103</v>
      </c>
      <c r="I864" s="18" t="s">
        <v>9</v>
      </c>
      <c r="J864" s="21" t="s">
        <v>25</v>
      </c>
      <c r="K864" s="21"/>
      <c r="L864" s="21"/>
      <c r="M864" s="21"/>
    </row>
    <row r="865" spans="1:13" x14ac:dyDescent="0.25">
      <c r="A865" t="s">
        <v>26</v>
      </c>
      <c r="B865" s="16" t="s">
        <v>29</v>
      </c>
      <c r="C865" t="s">
        <v>25</v>
      </c>
      <c r="D865" t="str">
        <f t="shared" si="17"/>
        <v>SATURN-Pisces-Capricorn</v>
      </c>
      <c r="E865" s="17" t="s">
        <v>101</v>
      </c>
      <c r="F865" s="18" t="s">
        <v>12</v>
      </c>
      <c r="G865" s="19" t="s">
        <v>29</v>
      </c>
      <c r="H865" s="20" t="s">
        <v>98</v>
      </c>
      <c r="I865" s="18" t="s">
        <v>7</v>
      </c>
      <c r="J865" s="21" t="s">
        <v>25</v>
      </c>
      <c r="K865" s="21"/>
      <c r="L865" s="21"/>
      <c r="M865" s="21"/>
    </row>
    <row r="866" spans="1:13" x14ac:dyDescent="0.25">
      <c r="A866" t="s">
        <v>26</v>
      </c>
      <c r="B866" s="16" t="s">
        <v>29</v>
      </c>
      <c r="C866" t="s">
        <v>27</v>
      </c>
      <c r="D866" t="str">
        <f t="shared" si="17"/>
        <v>SATURN-Pisces-Aquarius</v>
      </c>
      <c r="E866" s="17" t="s">
        <v>103</v>
      </c>
      <c r="F866" s="18" t="s">
        <v>9</v>
      </c>
      <c r="G866" s="19" t="s">
        <v>29</v>
      </c>
      <c r="H866" s="20" t="s">
        <v>100</v>
      </c>
      <c r="I866" s="18" t="s">
        <v>29</v>
      </c>
      <c r="J866" s="21" t="s">
        <v>25</v>
      </c>
      <c r="K866" s="21"/>
      <c r="L866" s="21"/>
      <c r="M866" s="21"/>
    </row>
    <row r="867" spans="1:13" x14ac:dyDescent="0.25">
      <c r="A867" t="s">
        <v>26</v>
      </c>
      <c r="B867" s="16" t="s">
        <v>29</v>
      </c>
      <c r="C867" t="s">
        <v>29</v>
      </c>
      <c r="D867" t="str">
        <f t="shared" si="17"/>
        <v>SATURN-Pisces-Pisces</v>
      </c>
      <c r="E867" s="17" t="s">
        <v>98</v>
      </c>
      <c r="F867" s="18" t="s">
        <v>7</v>
      </c>
      <c r="G867" s="19" t="s">
        <v>29</v>
      </c>
      <c r="H867" s="20" t="s">
        <v>102</v>
      </c>
      <c r="I867" s="18" t="s">
        <v>27</v>
      </c>
      <c r="J867" s="21" t="s">
        <v>25</v>
      </c>
      <c r="K867" s="21"/>
      <c r="L867" s="21"/>
      <c r="M867" s="21"/>
    </row>
    <row r="868" spans="1:13" x14ac:dyDescent="0.25">
      <c r="A868" t="s">
        <v>28</v>
      </c>
      <c r="B868" s="16" t="s">
        <v>7</v>
      </c>
      <c r="C868" t="s">
        <v>7</v>
      </c>
      <c r="D868" t="str">
        <f>A868&amp;"-"&amp;B868&amp;"-"&amp;C868</f>
        <v>URANUS-Aries-Aries</v>
      </c>
      <c r="E868" s="17" t="s">
        <v>98</v>
      </c>
      <c r="F868" s="18" t="s">
        <v>7</v>
      </c>
      <c r="G868" s="19" t="s">
        <v>7</v>
      </c>
      <c r="H868" s="20" t="s">
        <v>102</v>
      </c>
      <c r="I868" s="18" t="s">
        <v>27</v>
      </c>
      <c r="J868" t="s">
        <v>27</v>
      </c>
    </row>
    <row r="869" spans="1:13" x14ac:dyDescent="0.25">
      <c r="A869" t="s">
        <v>28</v>
      </c>
      <c r="B869" s="16" t="s">
        <v>7</v>
      </c>
      <c r="C869" t="s">
        <v>9</v>
      </c>
      <c r="D869" t="str">
        <f t="shared" ref="D869:D932" si="18">A869&amp;"-"&amp;B869&amp;"-"&amp;C869</f>
        <v>URANUS-Aries-Taurus</v>
      </c>
      <c r="E869" s="17" t="s">
        <v>100</v>
      </c>
      <c r="F869" s="18" t="s">
        <v>29</v>
      </c>
      <c r="G869" s="19" t="s">
        <v>7</v>
      </c>
      <c r="H869" s="20" t="s">
        <v>104</v>
      </c>
      <c r="I869" s="18" t="s">
        <v>25</v>
      </c>
      <c r="J869" t="s">
        <v>27</v>
      </c>
    </row>
    <row r="870" spans="1:13" x14ac:dyDescent="0.25">
      <c r="A870" t="s">
        <v>28</v>
      </c>
      <c r="B870" s="16" t="s">
        <v>7</v>
      </c>
      <c r="C870" t="s">
        <v>12</v>
      </c>
      <c r="D870" t="str">
        <f t="shared" si="18"/>
        <v>URANUS-Aries-Gemini</v>
      </c>
      <c r="E870" s="17" t="s">
        <v>102</v>
      </c>
      <c r="F870" s="18" t="s">
        <v>27</v>
      </c>
      <c r="G870" s="19" t="s">
        <v>7</v>
      </c>
      <c r="H870" s="20" t="s">
        <v>105</v>
      </c>
      <c r="I870" s="18" t="s">
        <v>23</v>
      </c>
      <c r="J870" t="s">
        <v>27</v>
      </c>
    </row>
    <row r="871" spans="1:13" x14ac:dyDescent="0.25">
      <c r="A871" t="s">
        <v>28</v>
      </c>
      <c r="B871" s="16" t="s">
        <v>7</v>
      </c>
      <c r="C871" t="s">
        <v>14</v>
      </c>
      <c r="D871" t="str">
        <f t="shared" si="18"/>
        <v>URANUS-Aries-Cancer</v>
      </c>
      <c r="E871" s="17" t="s">
        <v>104</v>
      </c>
      <c r="F871" s="18" t="s">
        <v>25</v>
      </c>
      <c r="G871" s="19" t="s">
        <v>7</v>
      </c>
      <c r="H871" s="20" t="s">
        <v>106</v>
      </c>
      <c r="I871" s="18" t="s">
        <v>21</v>
      </c>
      <c r="J871" t="s">
        <v>27</v>
      </c>
    </row>
    <row r="872" spans="1:13" x14ac:dyDescent="0.25">
      <c r="A872" t="s">
        <v>28</v>
      </c>
      <c r="B872" s="16" t="s">
        <v>7</v>
      </c>
      <c r="C872" t="s">
        <v>16</v>
      </c>
      <c r="D872" t="str">
        <f t="shared" si="18"/>
        <v>URANUS-Aries-Leo</v>
      </c>
      <c r="E872" s="17" t="s">
        <v>105</v>
      </c>
      <c r="F872" s="18" t="s">
        <v>23</v>
      </c>
      <c r="G872" s="19" t="s">
        <v>7</v>
      </c>
      <c r="H872" s="20" t="s">
        <v>107</v>
      </c>
      <c r="I872" s="18" t="s">
        <v>10</v>
      </c>
      <c r="J872" t="s">
        <v>27</v>
      </c>
    </row>
    <row r="873" spans="1:13" x14ac:dyDescent="0.25">
      <c r="A873" t="s">
        <v>28</v>
      </c>
      <c r="B873" s="16" t="s">
        <v>7</v>
      </c>
      <c r="C873" t="s">
        <v>18</v>
      </c>
      <c r="D873" t="str">
        <f t="shared" si="18"/>
        <v>URANUS-Aries-Virgo</v>
      </c>
      <c r="E873" s="17" t="s">
        <v>106</v>
      </c>
      <c r="F873" s="18" t="s">
        <v>21</v>
      </c>
      <c r="G873" s="19" t="s">
        <v>7</v>
      </c>
      <c r="H873" s="20" t="s">
        <v>108</v>
      </c>
      <c r="I873" s="18" t="s">
        <v>18</v>
      </c>
      <c r="J873" t="s">
        <v>27</v>
      </c>
    </row>
    <row r="874" spans="1:13" x14ac:dyDescent="0.25">
      <c r="A874" t="s">
        <v>28</v>
      </c>
      <c r="B874" s="16" t="s">
        <v>7</v>
      </c>
      <c r="C874" t="s">
        <v>10</v>
      </c>
      <c r="D874" t="str">
        <f t="shared" si="18"/>
        <v>URANUS-Aries-Libra</v>
      </c>
      <c r="E874" s="17" t="s">
        <v>107</v>
      </c>
      <c r="F874" s="18" t="s">
        <v>10</v>
      </c>
      <c r="G874" s="19" t="s">
        <v>7</v>
      </c>
      <c r="H874" s="20" t="s">
        <v>109</v>
      </c>
      <c r="I874" s="18" t="s">
        <v>16</v>
      </c>
      <c r="J874" t="s">
        <v>27</v>
      </c>
    </row>
    <row r="875" spans="1:13" x14ac:dyDescent="0.25">
      <c r="A875" t="s">
        <v>28</v>
      </c>
      <c r="B875" s="16" t="s">
        <v>7</v>
      </c>
      <c r="C875" t="s">
        <v>21</v>
      </c>
      <c r="D875" t="str">
        <f t="shared" si="18"/>
        <v>URANUS-Aries-Scorpio</v>
      </c>
      <c r="E875" s="17" t="s">
        <v>108</v>
      </c>
      <c r="F875" s="18" t="s">
        <v>18</v>
      </c>
      <c r="G875" s="19" t="s">
        <v>7</v>
      </c>
      <c r="H875" s="20" t="s">
        <v>99</v>
      </c>
      <c r="I875" s="18" t="s">
        <v>14</v>
      </c>
      <c r="J875" t="s">
        <v>27</v>
      </c>
    </row>
    <row r="876" spans="1:13" x14ac:dyDescent="0.25">
      <c r="A876" t="s">
        <v>28</v>
      </c>
      <c r="B876" s="16" t="s">
        <v>7</v>
      </c>
      <c r="C876" t="s">
        <v>23</v>
      </c>
      <c r="D876" t="str">
        <f t="shared" si="18"/>
        <v>URANUS-Aries-Sagittarius</v>
      </c>
      <c r="E876" s="17" t="s">
        <v>109</v>
      </c>
      <c r="F876" s="18" t="s">
        <v>16</v>
      </c>
      <c r="G876" s="19" t="s">
        <v>7</v>
      </c>
      <c r="H876" s="20" t="s">
        <v>101</v>
      </c>
      <c r="I876" s="18" t="s">
        <v>12</v>
      </c>
      <c r="J876" t="s">
        <v>27</v>
      </c>
    </row>
    <row r="877" spans="1:13" x14ac:dyDescent="0.25">
      <c r="A877" t="s">
        <v>28</v>
      </c>
      <c r="B877" s="16" t="s">
        <v>7</v>
      </c>
      <c r="C877" t="s">
        <v>25</v>
      </c>
      <c r="D877" t="str">
        <f t="shared" si="18"/>
        <v>URANUS-Aries-Capricorn</v>
      </c>
      <c r="E877" s="17" t="s">
        <v>99</v>
      </c>
      <c r="F877" s="18" t="s">
        <v>14</v>
      </c>
      <c r="G877" s="19" t="s">
        <v>7</v>
      </c>
      <c r="H877" s="20" t="s">
        <v>103</v>
      </c>
      <c r="I877" s="18" t="s">
        <v>9</v>
      </c>
      <c r="J877" t="s">
        <v>27</v>
      </c>
    </row>
    <row r="878" spans="1:13" x14ac:dyDescent="0.25">
      <c r="A878" t="s">
        <v>28</v>
      </c>
      <c r="B878" s="16" t="s">
        <v>7</v>
      </c>
      <c r="C878" t="s">
        <v>27</v>
      </c>
      <c r="D878" t="str">
        <f t="shared" si="18"/>
        <v>URANUS-Aries-Aquarius</v>
      </c>
      <c r="E878" s="17" t="s">
        <v>101</v>
      </c>
      <c r="F878" s="18" t="s">
        <v>12</v>
      </c>
      <c r="G878" s="19" t="s">
        <v>7</v>
      </c>
      <c r="H878" s="20" t="s">
        <v>98</v>
      </c>
      <c r="I878" s="18" t="s">
        <v>7</v>
      </c>
      <c r="J878" t="s">
        <v>27</v>
      </c>
    </row>
    <row r="879" spans="1:13" x14ac:dyDescent="0.25">
      <c r="A879" t="s">
        <v>28</v>
      </c>
      <c r="B879" s="16" t="s">
        <v>7</v>
      </c>
      <c r="C879" t="s">
        <v>29</v>
      </c>
      <c r="D879" t="str">
        <f t="shared" si="18"/>
        <v>URANUS-Aries-Pisces</v>
      </c>
      <c r="E879" s="17" t="s">
        <v>103</v>
      </c>
      <c r="F879" s="18" t="s">
        <v>9</v>
      </c>
      <c r="G879" s="19" t="s">
        <v>7</v>
      </c>
      <c r="H879" s="20" t="s">
        <v>100</v>
      </c>
      <c r="I879" s="18" t="s">
        <v>29</v>
      </c>
      <c r="J879" t="s">
        <v>27</v>
      </c>
    </row>
    <row r="880" spans="1:13" x14ac:dyDescent="0.25">
      <c r="A880" t="s">
        <v>28</v>
      </c>
      <c r="B880" s="16" t="s">
        <v>9</v>
      </c>
      <c r="C880" t="s">
        <v>7</v>
      </c>
      <c r="D880" t="str">
        <f t="shared" si="18"/>
        <v>URANUS-Taurus-Aries</v>
      </c>
      <c r="E880" s="17" t="s">
        <v>103</v>
      </c>
      <c r="F880" s="18" t="s">
        <v>9</v>
      </c>
      <c r="G880" s="19" t="s">
        <v>9</v>
      </c>
      <c r="H880" s="20" t="s">
        <v>102</v>
      </c>
      <c r="I880" s="18" t="s">
        <v>27</v>
      </c>
      <c r="J880" t="s">
        <v>27</v>
      </c>
    </row>
    <row r="881" spans="1:10" x14ac:dyDescent="0.25">
      <c r="A881" t="s">
        <v>28</v>
      </c>
      <c r="B881" s="16" t="s">
        <v>9</v>
      </c>
      <c r="C881" t="s">
        <v>9</v>
      </c>
      <c r="D881" t="str">
        <f t="shared" si="18"/>
        <v>URANUS-Taurus-Taurus</v>
      </c>
      <c r="E881" s="17" t="s">
        <v>98</v>
      </c>
      <c r="F881" s="18" t="s">
        <v>7</v>
      </c>
      <c r="G881" s="19" t="s">
        <v>9</v>
      </c>
      <c r="H881" s="20" t="s">
        <v>104</v>
      </c>
      <c r="I881" s="18" t="s">
        <v>25</v>
      </c>
      <c r="J881" t="s">
        <v>27</v>
      </c>
    </row>
    <row r="882" spans="1:10" x14ac:dyDescent="0.25">
      <c r="A882" t="s">
        <v>28</v>
      </c>
      <c r="B882" s="16" t="s">
        <v>9</v>
      </c>
      <c r="C882" t="s">
        <v>12</v>
      </c>
      <c r="D882" t="str">
        <f t="shared" si="18"/>
        <v>URANUS-Taurus-Gemini</v>
      </c>
      <c r="E882" s="17" t="s">
        <v>100</v>
      </c>
      <c r="F882" s="18" t="s">
        <v>29</v>
      </c>
      <c r="G882" s="19" t="s">
        <v>9</v>
      </c>
      <c r="H882" s="20" t="s">
        <v>105</v>
      </c>
      <c r="I882" s="18" t="s">
        <v>23</v>
      </c>
      <c r="J882" t="s">
        <v>27</v>
      </c>
    </row>
    <row r="883" spans="1:10" x14ac:dyDescent="0.25">
      <c r="A883" t="s">
        <v>28</v>
      </c>
      <c r="B883" s="16" t="s">
        <v>9</v>
      </c>
      <c r="C883" t="s">
        <v>14</v>
      </c>
      <c r="D883" t="str">
        <f t="shared" si="18"/>
        <v>URANUS-Taurus-Cancer</v>
      </c>
      <c r="E883" s="17" t="s">
        <v>102</v>
      </c>
      <c r="F883" s="18" t="s">
        <v>27</v>
      </c>
      <c r="G883" s="19" t="s">
        <v>9</v>
      </c>
      <c r="H883" s="20" t="s">
        <v>106</v>
      </c>
      <c r="I883" s="18" t="s">
        <v>21</v>
      </c>
      <c r="J883" t="s">
        <v>27</v>
      </c>
    </row>
    <row r="884" spans="1:10" x14ac:dyDescent="0.25">
      <c r="A884" t="s">
        <v>28</v>
      </c>
      <c r="B884" s="16" t="s">
        <v>9</v>
      </c>
      <c r="C884" t="s">
        <v>16</v>
      </c>
      <c r="D884" t="str">
        <f t="shared" si="18"/>
        <v>URANUS-Taurus-Leo</v>
      </c>
      <c r="E884" s="17" t="s">
        <v>104</v>
      </c>
      <c r="F884" s="18" t="s">
        <v>25</v>
      </c>
      <c r="G884" s="19" t="s">
        <v>9</v>
      </c>
      <c r="H884" s="20" t="s">
        <v>107</v>
      </c>
      <c r="I884" s="18" t="s">
        <v>10</v>
      </c>
      <c r="J884" t="s">
        <v>27</v>
      </c>
    </row>
    <row r="885" spans="1:10" x14ac:dyDescent="0.25">
      <c r="A885" t="s">
        <v>28</v>
      </c>
      <c r="B885" s="16" t="s">
        <v>9</v>
      </c>
      <c r="C885" t="s">
        <v>18</v>
      </c>
      <c r="D885" t="str">
        <f t="shared" si="18"/>
        <v>URANUS-Taurus-Virgo</v>
      </c>
      <c r="E885" s="17" t="s">
        <v>105</v>
      </c>
      <c r="F885" s="18" t="s">
        <v>23</v>
      </c>
      <c r="G885" s="19" t="s">
        <v>9</v>
      </c>
      <c r="H885" s="20" t="s">
        <v>108</v>
      </c>
      <c r="I885" s="18" t="s">
        <v>18</v>
      </c>
      <c r="J885" t="s">
        <v>27</v>
      </c>
    </row>
    <row r="886" spans="1:10" x14ac:dyDescent="0.25">
      <c r="A886" t="s">
        <v>28</v>
      </c>
      <c r="B886" s="16" t="s">
        <v>9</v>
      </c>
      <c r="C886" t="s">
        <v>10</v>
      </c>
      <c r="D886" t="str">
        <f t="shared" si="18"/>
        <v>URANUS-Taurus-Libra</v>
      </c>
      <c r="E886" s="17" t="s">
        <v>106</v>
      </c>
      <c r="F886" s="18" t="s">
        <v>21</v>
      </c>
      <c r="G886" s="19" t="s">
        <v>9</v>
      </c>
      <c r="H886" s="20" t="s">
        <v>109</v>
      </c>
      <c r="I886" s="18" t="s">
        <v>16</v>
      </c>
      <c r="J886" t="s">
        <v>27</v>
      </c>
    </row>
    <row r="887" spans="1:10" x14ac:dyDescent="0.25">
      <c r="A887" t="s">
        <v>28</v>
      </c>
      <c r="B887" s="16" t="s">
        <v>9</v>
      </c>
      <c r="C887" t="s">
        <v>21</v>
      </c>
      <c r="D887" t="str">
        <f t="shared" si="18"/>
        <v>URANUS-Taurus-Scorpio</v>
      </c>
      <c r="E887" s="17" t="s">
        <v>107</v>
      </c>
      <c r="F887" s="18" t="s">
        <v>10</v>
      </c>
      <c r="G887" s="19" t="s">
        <v>9</v>
      </c>
      <c r="H887" s="20" t="s">
        <v>99</v>
      </c>
      <c r="I887" s="18" t="s">
        <v>14</v>
      </c>
      <c r="J887" t="s">
        <v>27</v>
      </c>
    </row>
    <row r="888" spans="1:10" x14ac:dyDescent="0.25">
      <c r="A888" t="s">
        <v>28</v>
      </c>
      <c r="B888" s="16" t="s">
        <v>9</v>
      </c>
      <c r="C888" t="s">
        <v>23</v>
      </c>
      <c r="D888" t="str">
        <f t="shared" si="18"/>
        <v>URANUS-Taurus-Sagittarius</v>
      </c>
      <c r="E888" s="17" t="s">
        <v>108</v>
      </c>
      <c r="F888" s="18" t="s">
        <v>18</v>
      </c>
      <c r="G888" s="19" t="s">
        <v>9</v>
      </c>
      <c r="H888" s="20" t="s">
        <v>101</v>
      </c>
      <c r="I888" s="18" t="s">
        <v>12</v>
      </c>
      <c r="J888" t="s">
        <v>27</v>
      </c>
    </row>
    <row r="889" spans="1:10" x14ac:dyDescent="0.25">
      <c r="A889" t="s">
        <v>28</v>
      </c>
      <c r="B889" s="16" t="s">
        <v>9</v>
      </c>
      <c r="C889" t="s">
        <v>25</v>
      </c>
      <c r="D889" t="str">
        <f t="shared" si="18"/>
        <v>URANUS-Taurus-Capricorn</v>
      </c>
      <c r="E889" s="17" t="s">
        <v>109</v>
      </c>
      <c r="F889" s="18" t="s">
        <v>16</v>
      </c>
      <c r="G889" s="19" t="s">
        <v>9</v>
      </c>
      <c r="H889" s="20" t="s">
        <v>103</v>
      </c>
      <c r="I889" s="18" t="s">
        <v>9</v>
      </c>
      <c r="J889" t="s">
        <v>27</v>
      </c>
    </row>
    <row r="890" spans="1:10" x14ac:dyDescent="0.25">
      <c r="A890" t="s">
        <v>28</v>
      </c>
      <c r="B890" s="16" t="s">
        <v>9</v>
      </c>
      <c r="C890" t="s">
        <v>27</v>
      </c>
      <c r="D890" t="str">
        <f t="shared" si="18"/>
        <v>URANUS-Taurus-Aquarius</v>
      </c>
      <c r="E890" s="17" t="s">
        <v>99</v>
      </c>
      <c r="F890" s="18" t="s">
        <v>14</v>
      </c>
      <c r="G890" s="19" t="s">
        <v>9</v>
      </c>
      <c r="H890" s="20" t="s">
        <v>98</v>
      </c>
      <c r="I890" s="18" t="s">
        <v>7</v>
      </c>
      <c r="J890" t="s">
        <v>27</v>
      </c>
    </row>
    <row r="891" spans="1:10" x14ac:dyDescent="0.25">
      <c r="A891" t="s">
        <v>28</v>
      </c>
      <c r="B891" s="16" t="s">
        <v>9</v>
      </c>
      <c r="C891" t="s">
        <v>29</v>
      </c>
      <c r="D891" t="str">
        <f t="shared" si="18"/>
        <v>URANUS-Taurus-Pisces</v>
      </c>
      <c r="E891" s="17" t="s">
        <v>101</v>
      </c>
      <c r="F891" s="18" t="s">
        <v>12</v>
      </c>
      <c r="G891" s="19" t="s">
        <v>9</v>
      </c>
      <c r="H891" s="20" t="s">
        <v>100</v>
      </c>
      <c r="I891" s="18" t="s">
        <v>29</v>
      </c>
      <c r="J891" t="s">
        <v>27</v>
      </c>
    </row>
    <row r="892" spans="1:10" x14ac:dyDescent="0.25">
      <c r="A892" t="s">
        <v>28</v>
      </c>
      <c r="B892" s="16" t="s">
        <v>12</v>
      </c>
      <c r="C892" t="s">
        <v>7</v>
      </c>
      <c r="D892" t="str">
        <f t="shared" si="18"/>
        <v>URANUS-Gemini-Aries</v>
      </c>
      <c r="E892" s="17" t="s">
        <v>101</v>
      </c>
      <c r="F892" s="18" t="s">
        <v>12</v>
      </c>
      <c r="G892" s="19" t="s">
        <v>12</v>
      </c>
      <c r="H892" s="20" t="s">
        <v>102</v>
      </c>
      <c r="I892" s="18" t="s">
        <v>27</v>
      </c>
      <c r="J892" t="s">
        <v>27</v>
      </c>
    </row>
    <row r="893" spans="1:10" x14ac:dyDescent="0.25">
      <c r="A893" t="s">
        <v>28</v>
      </c>
      <c r="B893" s="16" t="s">
        <v>12</v>
      </c>
      <c r="C893" t="s">
        <v>9</v>
      </c>
      <c r="D893" t="str">
        <f t="shared" si="18"/>
        <v>URANUS-Gemini-Taurus</v>
      </c>
      <c r="E893" s="17" t="s">
        <v>103</v>
      </c>
      <c r="F893" s="18" t="s">
        <v>9</v>
      </c>
      <c r="G893" s="19" t="s">
        <v>12</v>
      </c>
      <c r="H893" s="20" t="s">
        <v>104</v>
      </c>
      <c r="I893" s="18" t="s">
        <v>25</v>
      </c>
      <c r="J893" t="s">
        <v>27</v>
      </c>
    </row>
    <row r="894" spans="1:10" x14ac:dyDescent="0.25">
      <c r="A894" t="s">
        <v>28</v>
      </c>
      <c r="B894" s="16" t="s">
        <v>12</v>
      </c>
      <c r="C894" t="s">
        <v>12</v>
      </c>
      <c r="D894" t="str">
        <f t="shared" si="18"/>
        <v>URANUS-Gemini-Gemini</v>
      </c>
      <c r="E894" s="17" t="s">
        <v>98</v>
      </c>
      <c r="F894" s="18" t="s">
        <v>7</v>
      </c>
      <c r="G894" s="19" t="s">
        <v>12</v>
      </c>
      <c r="H894" s="20" t="s">
        <v>105</v>
      </c>
      <c r="I894" s="18" t="s">
        <v>23</v>
      </c>
      <c r="J894" t="s">
        <v>27</v>
      </c>
    </row>
    <row r="895" spans="1:10" x14ac:dyDescent="0.25">
      <c r="A895" t="s">
        <v>28</v>
      </c>
      <c r="B895" s="16" t="s">
        <v>12</v>
      </c>
      <c r="C895" t="s">
        <v>14</v>
      </c>
      <c r="D895" t="str">
        <f t="shared" si="18"/>
        <v>URANUS-Gemini-Cancer</v>
      </c>
      <c r="E895" s="17" t="s">
        <v>100</v>
      </c>
      <c r="F895" s="18" t="s">
        <v>29</v>
      </c>
      <c r="G895" s="19" t="s">
        <v>12</v>
      </c>
      <c r="H895" s="20" t="s">
        <v>106</v>
      </c>
      <c r="I895" s="18" t="s">
        <v>21</v>
      </c>
      <c r="J895" t="s">
        <v>27</v>
      </c>
    </row>
    <row r="896" spans="1:10" x14ac:dyDescent="0.25">
      <c r="A896" t="s">
        <v>28</v>
      </c>
      <c r="B896" s="16" t="s">
        <v>12</v>
      </c>
      <c r="C896" t="s">
        <v>16</v>
      </c>
      <c r="D896" t="str">
        <f t="shared" si="18"/>
        <v>URANUS-Gemini-Leo</v>
      </c>
      <c r="E896" s="17" t="s">
        <v>102</v>
      </c>
      <c r="F896" s="18" t="s">
        <v>27</v>
      </c>
      <c r="G896" s="19" t="s">
        <v>12</v>
      </c>
      <c r="H896" s="20" t="s">
        <v>107</v>
      </c>
      <c r="I896" s="18" t="s">
        <v>10</v>
      </c>
      <c r="J896" t="s">
        <v>27</v>
      </c>
    </row>
    <row r="897" spans="1:10" x14ac:dyDescent="0.25">
      <c r="A897" t="s">
        <v>28</v>
      </c>
      <c r="B897" s="16" t="s">
        <v>12</v>
      </c>
      <c r="C897" t="s">
        <v>18</v>
      </c>
      <c r="D897" t="str">
        <f t="shared" si="18"/>
        <v>URANUS-Gemini-Virgo</v>
      </c>
      <c r="E897" s="17" t="s">
        <v>104</v>
      </c>
      <c r="F897" s="18" t="s">
        <v>25</v>
      </c>
      <c r="G897" s="19" t="s">
        <v>12</v>
      </c>
      <c r="H897" s="20" t="s">
        <v>108</v>
      </c>
      <c r="I897" s="18" t="s">
        <v>18</v>
      </c>
      <c r="J897" t="s">
        <v>27</v>
      </c>
    </row>
    <row r="898" spans="1:10" x14ac:dyDescent="0.25">
      <c r="A898" t="s">
        <v>28</v>
      </c>
      <c r="B898" s="16" t="s">
        <v>12</v>
      </c>
      <c r="C898" t="s">
        <v>10</v>
      </c>
      <c r="D898" t="str">
        <f t="shared" si="18"/>
        <v>URANUS-Gemini-Libra</v>
      </c>
      <c r="E898" s="17" t="s">
        <v>105</v>
      </c>
      <c r="F898" s="18" t="s">
        <v>23</v>
      </c>
      <c r="G898" s="19" t="s">
        <v>12</v>
      </c>
      <c r="H898" s="20" t="s">
        <v>109</v>
      </c>
      <c r="I898" s="18" t="s">
        <v>16</v>
      </c>
      <c r="J898" t="s">
        <v>27</v>
      </c>
    </row>
    <row r="899" spans="1:10" x14ac:dyDescent="0.25">
      <c r="A899" t="s">
        <v>28</v>
      </c>
      <c r="B899" s="16" t="s">
        <v>12</v>
      </c>
      <c r="C899" t="s">
        <v>21</v>
      </c>
      <c r="D899" t="str">
        <f t="shared" si="18"/>
        <v>URANUS-Gemini-Scorpio</v>
      </c>
      <c r="E899" s="17" t="s">
        <v>106</v>
      </c>
      <c r="F899" s="18" t="s">
        <v>21</v>
      </c>
      <c r="G899" s="19" t="s">
        <v>12</v>
      </c>
      <c r="H899" s="20" t="s">
        <v>99</v>
      </c>
      <c r="I899" s="18" t="s">
        <v>14</v>
      </c>
      <c r="J899" t="s">
        <v>27</v>
      </c>
    </row>
    <row r="900" spans="1:10" x14ac:dyDescent="0.25">
      <c r="A900" t="s">
        <v>28</v>
      </c>
      <c r="B900" s="16" t="s">
        <v>12</v>
      </c>
      <c r="C900" t="s">
        <v>23</v>
      </c>
      <c r="D900" t="str">
        <f t="shared" si="18"/>
        <v>URANUS-Gemini-Sagittarius</v>
      </c>
      <c r="E900" s="17" t="s">
        <v>107</v>
      </c>
      <c r="F900" s="18" t="s">
        <v>10</v>
      </c>
      <c r="G900" s="19" t="s">
        <v>12</v>
      </c>
      <c r="H900" s="20" t="s">
        <v>101</v>
      </c>
      <c r="I900" s="18" t="s">
        <v>12</v>
      </c>
      <c r="J900" t="s">
        <v>27</v>
      </c>
    </row>
    <row r="901" spans="1:10" x14ac:dyDescent="0.25">
      <c r="A901" t="s">
        <v>28</v>
      </c>
      <c r="B901" s="16" t="s">
        <v>12</v>
      </c>
      <c r="C901" t="s">
        <v>25</v>
      </c>
      <c r="D901" t="str">
        <f t="shared" si="18"/>
        <v>URANUS-Gemini-Capricorn</v>
      </c>
      <c r="E901" s="17" t="s">
        <v>108</v>
      </c>
      <c r="F901" s="18" t="s">
        <v>18</v>
      </c>
      <c r="G901" s="19" t="s">
        <v>12</v>
      </c>
      <c r="H901" s="20" t="s">
        <v>103</v>
      </c>
      <c r="I901" s="18" t="s">
        <v>9</v>
      </c>
      <c r="J901" t="s">
        <v>27</v>
      </c>
    </row>
    <row r="902" spans="1:10" x14ac:dyDescent="0.25">
      <c r="A902" t="s">
        <v>28</v>
      </c>
      <c r="B902" s="16" t="s">
        <v>12</v>
      </c>
      <c r="C902" t="s">
        <v>27</v>
      </c>
      <c r="D902" t="str">
        <f t="shared" si="18"/>
        <v>URANUS-Gemini-Aquarius</v>
      </c>
      <c r="E902" s="17" t="s">
        <v>109</v>
      </c>
      <c r="F902" s="18" t="s">
        <v>16</v>
      </c>
      <c r="G902" s="19" t="s">
        <v>12</v>
      </c>
      <c r="H902" s="20" t="s">
        <v>98</v>
      </c>
      <c r="I902" s="18" t="s">
        <v>7</v>
      </c>
      <c r="J902" t="s">
        <v>27</v>
      </c>
    </row>
    <row r="903" spans="1:10" x14ac:dyDescent="0.25">
      <c r="A903" t="s">
        <v>28</v>
      </c>
      <c r="B903" s="16" t="s">
        <v>12</v>
      </c>
      <c r="C903" t="s">
        <v>29</v>
      </c>
      <c r="D903" t="str">
        <f t="shared" si="18"/>
        <v>URANUS-Gemini-Pisces</v>
      </c>
      <c r="E903" s="17" t="s">
        <v>99</v>
      </c>
      <c r="F903" s="18" t="s">
        <v>14</v>
      </c>
      <c r="G903" s="19" t="s">
        <v>12</v>
      </c>
      <c r="H903" s="20" t="s">
        <v>100</v>
      </c>
      <c r="I903" s="18" t="s">
        <v>29</v>
      </c>
      <c r="J903" t="s">
        <v>27</v>
      </c>
    </row>
    <row r="904" spans="1:10" x14ac:dyDescent="0.25">
      <c r="A904" t="s">
        <v>28</v>
      </c>
      <c r="B904" s="16" t="s">
        <v>14</v>
      </c>
      <c r="C904" t="s">
        <v>7</v>
      </c>
      <c r="D904" t="str">
        <f t="shared" si="18"/>
        <v>URANUS-Cancer-Aries</v>
      </c>
      <c r="E904" s="17" t="s">
        <v>99</v>
      </c>
      <c r="F904" s="18" t="s">
        <v>14</v>
      </c>
      <c r="G904" s="19" t="s">
        <v>14</v>
      </c>
      <c r="H904" s="20" t="s">
        <v>102</v>
      </c>
      <c r="I904" s="18" t="s">
        <v>27</v>
      </c>
      <c r="J904" t="s">
        <v>27</v>
      </c>
    </row>
    <row r="905" spans="1:10" x14ac:dyDescent="0.25">
      <c r="A905" t="s">
        <v>28</v>
      </c>
      <c r="B905" s="16" t="s">
        <v>14</v>
      </c>
      <c r="C905" t="s">
        <v>9</v>
      </c>
      <c r="D905" t="str">
        <f t="shared" si="18"/>
        <v>URANUS-Cancer-Taurus</v>
      </c>
      <c r="E905" s="17" t="s">
        <v>101</v>
      </c>
      <c r="F905" s="18" t="s">
        <v>12</v>
      </c>
      <c r="G905" s="19" t="s">
        <v>14</v>
      </c>
      <c r="H905" s="20" t="s">
        <v>104</v>
      </c>
      <c r="I905" s="18" t="s">
        <v>25</v>
      </c>
      <c r="J905" t="s">
        <v>27</v>
      </c>
    </row>
    <row r="906" spans="1:10" x14ac:dyDescent="0.25">
      <c r="A906" t="s">
        <v>28</v>
      </c>
      <c r="B906" s="16" t="s">
        <v>14</v>
      </c>
      <c r="C906" t="s">
        <v>12</v>
      </c>
      <c r="D906" t="str">
        <f t="shared" si="18"/>
        <v>URANUS-Cancer-Gemini</v>
      </c>
      <c r="E906" s="17" t="s">
        <v>103</v>
      </c>
      <c r="F906" s="18" t="s">
        <v>9</v>
      </c>
      <c r="G906" s="19" t="s">
        <v>14</v>
      </c>
      <c r="H906" s="20" t="s">
        <v>105</v>
      </c>
      <c r="I906" s="18" t="s">
        <v>23</v>
      </c>
      <c r="J906" t="s">
        <v>27</v>
      </c>
    </row>
    <row r="907" spans="1:10" x14ac:dyDescent="0.25">
      <c r="A907" t="s">
        <v>28</v>
      </c>
      <c r="B907" s="16" t="s">
        <v>14</v>
      </c>
      <c r="C907" t="s">
        <v>14</v>
      </c>
      <c r="D907" t="str">
        <f t="shared" si="18"/>
        <v>URANUS-Cancer-Cancer</v>
      </c>
      <c r="E907" s="17" t="s">
        <v>98</v>
      </c>
      <c r="F907" s="18" t="s">
        <v>7</v>
      </c>
      <c r="G907" s="19" t="s">
        <v>14</v>
      </c>
      <c r="H907" s="20" t="s">
        <v>106</v>
      </c>
      <c r="I907" s="18" t="s">
        <v>21</v>
      </c>
      <c r="J907" t="s">
        <v>27</v>
      </c>
    </row>
    <row r="908" spans="1:10" x14ac:dyDescent="0.25">
      <c r="A908" t="s">
        <v>28</v>
      </c>
      <c r="B908" s="16" t="s">
        <v>14</v>
      </c>
      <c r="C908" t="s">
        <v>16</v>
      </c>
      <c r="D908" t="str">
        <f t="shared" si="18"/>
        <v>URANUS-Cancer-Leo</v>
      </c>
      <c r="E908" s="17" t="s">
        <v>100</v>
      </c>
      <c r="F908" s="18" t="s">
        <v>29</v>
      </c>
      <c r="G908" s="19" t="s">
        <v>14</v>
      </c>
      <c r="H908" s="20" t="s">
        <v>107</v>
      </c>
      <c r="I908" s="18" t="s">
        <v>10</v>
      </c>
      <c r="J908" t="s">
        <v>27</v>
      </c>
    </row>
    <row r="909" spans="1:10" x14ac:dyDescent="0.25">
      <c r="A909" t="s">
        <v>28</v>
      </c>
      <c r="B909" s="16" t="s">
        <v>14</v>
      </c>
      <c r="C909" t="s">
        <v>18</v>
      </c>
      <c r="D909" t="str">
        <f t="shared" si="18"/>
        <v>URANUS-Cancer-Virgo</v>
      </c>
      <c r="E909" s="17" t="s">
        <v>102</v>
      </c>
      <c r="F909" s="18" t="s">
        <v>27</v>
      </c>
      <c r="G909" s="19" t="s">
        <v>14</v>
      </c>
      <c r="H909" s="20" t="s">
        <v>108</v>
      </c>
      <c r="I909" s="18" t="s">
        <v>18</v>
      </c>
      <c r="J909" t="s">
        <v>27</v>
      </c>
    </row>
    <row r="910" spans="1:10" x14ac:dyDescent="0.25">
      <c r="A910" t="s">
        <v>28</v>
      </c>
      <c r="B910" s="16" t="s">
        <v>14</v>
      </c>
      <c r="C910" t="s">
        <v>10</v>
      </c>
      <c r="D910" t="str">
        <f t="shared" si="18"/>
        <v>URANUS-Cancer-Libra</v>
      </c>
      <c r="E910" s="17" t="s">
        <v>104</v>
      </c>
      <c r="F910" s="18" t="s">
        <v>25</v>
      </c>
      <c r="G910" s="19" t="s">
        <v>14</v>
      </c>
      <c r="H910" s="20" t="s">
        <v>109</v>
      </c>
      <c r="I910" s="18" t="s">
        <v>16</v>
      </c>
      <c r="J910" t="s">
        <v>27</v>
      </c>
    </row>
    <row r="911" spans="1:10" x14ac:dyDescent="0.25">
      <c r="A911" t="s">
        <v>28</v>
      </c>
      <c r="B911" s="16" t="s">
        <v>14</v>
      </c>
      <c r="C911" t="s">
        <v>21</v>
      </c>
      <c r="D911" t="str">
        <f t="shared" si="18"/>
        <v>URANUS-Cancer-Scorpio</v>
      </c>
      <c r="E911" s="17" t="s">
        <v>105</v>
      </c>
      <c r="F911" s="18" t="s">
        <v>23</v>
      </c>
      <c r="G911" s="19" t="s">
        <v>14</v>
      </c>
      <c r="H911" s="20" t="s">
        <v>99</v>
      </c>
      <c r="I911" s="18" t="s">
        <v>14</v>
      </c>
      <c r="J911" t="s">
        <v>27</v>
      </c>
    </row>
    <row r="912" spans="1:10" x14ac:dyDescent="0.25">
      <c r="A912" t="s">
        <v>28</v>
      </c>
      <c r="B912" s="16" t="s">
        <v>14</v>
      </c>
      <c r="C912" t="s">
        <v>23</v>
      </c>
      <c r="D912" t="str">
        <f t="shared" si="18"/>
        <v>URANUS-Cancer-Sagittarius</v>
      </c>
      <c r="E912" s="17" t="s">
        <v>106</v>
      </c>
      <c r="F912" s="18" t="s">
        <v>21</v>
      </c>
      <c r="G912" s="19" t="s">
        <v>14</v>
      </c>
      <c r="H912" s="20" t="s">
        <v>101</v>
      </c>
      <c r="I912" s="18" t="s">
        <v>12</v>
      </c>
      <c r="J912" t="s">
        <v>27</v>
      </c>
    </row>
    <row r="913" spans="1:10" x14ac:dyDescent="0.25">
      <c r="A913" t="s">
        <v>28</v>
      </c>
      <c r="B913" s="16" t="s">
        <v>14</v>
      </c>
      <c r="C913" t="s">
        <v>25</v>
      </c>
      <c r="D913" t="str">
        <f t="shared" si="18"/>
        <v>URANUS-Cancer-Capricorn</v>
      </c>
      <c r="E913" s="17" t="s">
        <v>107</v>
      </c>
      <c r="F913" s="18" t="s">
        <v>10</v>
      </c>
      <c r="G913" s="19" t="s">
        <v>14</v>
      </c>
      <c r="H913" s="20" t="s">
        <v>103</v>
      </c>
      <c r="I913" s="18" t="s">
        <v>9</v>
      </c>
      <c r="J913" t="s">
        <v>27</v>
      </c>
    </row>
    <row r="914" spans="1:10" x14ac:dyDescent="0.25">
      <c r="A914" t="s">
        <v>28</v>
      </c>
      <c r="B914" s="16" t="s">
        <v>14</v>
      </c>
      <c r="C914" t="s">
        <v>27</v>
      </c>
      <c r="D914" t="str">
        <f t="shared" si="18"/>
        <v>URANUS-Cancer-Aquarius</v>
      </c>
      <c r="E914" s="17" t="s">
        <v>108</v>
      </c>
      <c r="F914" s="18" t="s">
        <v>18</v>
      </c>
      <c r="G914" s="19" t="s">
        <v>14</v>
      </c>
      <c r="H914" s="20" t="s">
        <v>98</v>
      </c>
      <c r="I914" s="18" t="s">
        <v>7</v>
      </c>
      <c r="J914" t="s">
        <v>27</v>
      </c>
    </row>
    <row r="915" spans="1:10" x14ac:dyDescent="0.25">
      <c r="A915" t="s">
        <v>28</v>
      </c>
      <c r="B915" s="16" t="s">
        <v>14</v>
      </c>
      <c r="C915" t="s">
        <v>29</v>
      </c>
      <c r="D915" t="str">
        <f t="shared" si="18"/>
        <v>URANUS-Cancer-Pisces</v>
      </c>
      <c r="E915" s="17" t="s">
        <v>109</v>
      </c>
      <c r="F915" s="18" t="s">
        <v>16</v>
      </c>
      <c r="G915" s="19" t="s">
        <v>14</v>
      </c>
      <c r="H915" s="20" t="s">
        <v>100</v>
      </c>
      <c r="I915" s="18" t="s">
        <v>29</v>
      </c>
      <c r="J915" t="s">
        <v>27</v>
      </c>
    </row>
    <row r="916" spans="1:10" x14ac:dyDescent="0.25">
      <c r="A916" t="s">
        <v>28</v>
      </c>
      <c r="B916" s="16" t="s">
        <v>16</v>
      </c>
      <c r="C916" t="s">
        <v>7</v>
      </c>
      <c r="D916" t="str">
        <f t="shared" si="18"/>
        <v>URANUS-Leo-Aries</v>
      </c>
      <c r="E916" s="17" t="s">
        <v>109</v>
      </c>
      <c r="F916" s="18" t="s">
        <v>16</v>
      </c>
      <c r="G916" s="19" t="s">
        <v>16</v>
      </c>
      <c r="H916" s="20" t="s">
        <v>102</v>
      </c>
      <c r="I916" s="18" t="s">
        <v>27</v>
      </c>
      <c r="J916" t="s">
        <v>27</v>
      </c>
    </row>
    <row r="917" spans="1:10" x14ac:dyDescent="0.25">
      <c r="A917" t="s">
        <v>28</v>
      </c>
      <c r="B917" s="16" t="s">
        <v>16</v>
      </c>
      <c r="C917" t="s">
        <v>9</v>
      </c>
      <c r="D917" t="str">
        <f t="shared" si="18"/>
        <v>URANUS-Leo-Taurus</v>
      </c>
      <c r="E917" s="17" t="s">
        <v>99</v>
      </c>
      <c r="F917" s="18" t="s">
        <v>14</v>
      </c>
      <c r="G917" s="19" t="s">
        <v>16</v>
      </c>
      <c r="H917" s="20" t="s">
        <v>104</v>
      </c>
      <c r="I917" s="18" t="s">
        <v>25</v>
      </c>
      <c r="J917" t="s">
        <v>27</v>
      </c>
    </row>
    <row r="918" spans="1:10" x14ac:dyDescent="0.25">
      <c r="A918" t="s">
        <v>28</v>
      </c>
      <c r="B918" s="16" t="s">
        <v>16</v>
      </c>
      <c r="C918" t="s">
        <v>12</v>
      </c>
      <c r="D918" t="str">
        <f t="shared" si="18"/>
        <v>URANUS-Leo-Gemini</v>
      </c>
      <c r="E918" s="17" t="s">
        <v>101</v>
      </c>
      <c r="F918" s="18" t="s">
        <v>12</v>
      </c>
      <c r="G918" s="19" t="s">
        <v>16</v>
      </c>
      <c r="H918" s="20" t="s">
        <v>105</v>
      </c>
      <c r="I918" s="18" t="s">
        <v>23</v>
      </c>
      <c r="J918" t="s">
        <v>27</v>
      </c>
    </row>
    <row r="919" spans="1:10" x14ac:dyDescent="0.25">
      <c r="A919" t="s">
        <v>28</v>
      </c>
      <c r="B919" s="16" t="s">
        <v>16</v>
      </c>
      <c r="C919" t="s">
        <v>14</v>
      </c>
      <c r="D919" t="str">
        <f t="shared" si="18"/>
        <v>URANUS-Leo-Cancer</v>
      </c>
      <c r="E919" s="17" t="s">
        <v>103</v>
      </c>
      <c r="F919" s="18" t="s">
        <v>9</v>
      </c>
      <c r="G919" s="19" t="s">
        <v>16</v>
      </c>
      <c r="H919" s="20" t="s">
        <v>106</v>
      </c>
      <c r="I919" s="18" t="s">
        <v>21</v>
      </c>
      <c r="J919" t="s">
        <v>27</v>
      </c>
    </row>
    <row r="920" spans="1:10" x14ac:dyDescent="0.25">
      <c r="A920" t="s">
        <v>28</v>
      </c>
      <c r="B920" s="16" t="s">
        <v>16</v>
      </c>
      <c r="C920" t="s">
        <v>16</v>
      </c>
      <c r="D920" t="str">
        <f t="shared" si="18"/>
        <v>URANUS-Leo-Leo</v>
      </c>
      <c r="E920" s="17" t="s">
        <v>98</v>
      </c>
      <c r="F920" s="18" t="s">
        <v>7</v>
      </c>
      <c r="G920" s="19" t="s">
        <v>16</v>
      </c>
      <c r="H920" s="20" t="s">
        <v>107</v>
      </c>
      <c r="I920" s="18" t="s">
        <v>10</v>
      </c>
      <c r="J920" t="s">
        <v>27</v>
      </c>
    </row>
    <row r="921" spans="1:10" x14ac:dyDescent="0.25">
      <c r="A921" t="s">
        <v>28</v>
      </c>
      <c r="B921" s="16" t="s">
        <v>16</v>
      </c>
      <c r="C921" t="s">
        <v>18</v>
      </c>
      <c r="D921" t="str">
        <f t="shared" si="18"/>
        <v>URANUS-Leo-Virgo</v>
      </c>
      <c r="E921" s="17" t="s">
        <v>100</v>
      </c>
      <c r="F921" s="18" t="s">
        <v>29</v>
      </c>
      <c r="G921" s="19" t="s">
        <v>16</v>
      </c>
      <c r="H921" s="20" t="s">
        <v>108</v>
      </c>
      <c r="I921" s="18" t="s">
        <v>18</v>
      </c>
      <c r="J921" t="s">
        <v>27</v>
      </c>
    </row>
    <row r="922" spans="1:10" x14ac:dyDescent="0.25">
      <c r="A922" t="s">
        <v>28</v>
      </c>
      <c r="B922" s="16" t="s">
        <v>16</v>
      </c>
      <c r="C922" t="s">
        <v>10</v>
      </c>
      <c r="D922" t="str">
        <f t="shared" si="18"/>
        <v>URANUS-Leo-Libra</v>
      </c>
      <c r="E922" s="17" t="s">
        <v>102</v>
      </c>
      <c r="F922" s="18" t="s">
        <v>27</v>
      </c>
      <c r="G922" s="19" t="s">
        <v>16</v>
      </c>
      <c r="H922" s="20" t="s">
        <v>109</v>
      </c>
      <c r="I922" s="18" t="s">
        <v>16</v>
      </c>
      <c r="J922" t="s">
        <v>27</v>
      </c>
    </row>
    <row r="923" spans="1:10" x14ac:dyDescent="0.25">
      <c r="A923" t="s">
        <v>28</v>
      </c>
      <c r="B923" s="16" t="s">
        <v>16</v>
      </c>
      <c r="C923" t="s">
        <v>21</v>
      </c>
      <c r="D923" t="str">
        <f t="shared" si="18"/>
        <v>URANUS-Leo-Scorpio</v>
      </c>
      <c r="E923" s="17" t="s">
        <v>104</v>
      </c>
      <c r="F923" s="18" t="s">
        <v>25</v>
      </c>
      <c r="G923" s="19" t="s">
        <v>16</v>
      </c>
      <c r="H923" s="20" t="s">
        <v>99</v>
      </c>
      <c r="I923" s="18" t="s">
        <v>14</v>
      </c>
      <c r="J923" t="s">
        <v>27</v>
      </c>
    </row>
    <row r="924" spans="1:10" x14ac:dyDescent="0.25">
      <c r="A924" t="s">
        <v>28</v>
      </c>
      <c r="B924" s="16" t="s">
        <v>16</v>
      </c>
      <c r="C924" t="s">
        <v>23</v>
      </c>
      <c r="D924" t="str">
        <f t="shared" si="18"/>
        <v>URANUS-Leo-Sagittarius</v>
      </c>
      <c r="E924" s="17" t="s">
        <v>105</v>
      </c>
      <c r="F924" s="18" t="s">
        <v>23</v>
      </c>
      <c r="G924" s="19" t="s">
        <v>16</v>
      </c>
      <c r="H924" s="20" t="s">
        <v>101</v>
      </c>
      <c r="I924" s="18" t="s">
        <v>12</v>
      </c>
      <c r="J924" t="s">
        <v>27</v>
      </c>
    </row>
    <row r="925" spans="1:10" x14ac:dyDescent="0.25">
      <c r="A925" t="s">
        <v>28</v>
      </c>
      <c r="B925" s="16" t="s">
        <v>16</v>
      </c>
      <c r="C925" t="s">
        <v>25</v>
      </c>
      <c r="D925" t="str">
        <f t="shared" si="18"/>
        <v>URANUS-Leo-Capricorn</v>
      </c>
      <c r="E925" s="17" t="s">
        <v>106</v>
      </c>
      <c r="F925" s="18" t="s">
        <v>21</v>
      </c>
      <c r="G925" s="19" t="s">
        <v>16</v>
      </c>
      <c r="H925" s="20" t="s">
        <v>103</v>
      </c>
      <c r="I925" s="18" t="s">
        <v>9</v>
      </c>
      <c r="J925" t="s">
        <v>27</v>
      </c>
    </row>
    <row r="926" spans="1:10" x14ac:dyDescent="0.25">
      <c r="A926" t="s">
        <v>28</v>
      </c>
      <c r="B926" s="16" t="s">
        <v>16</v>
      </c>
      <c r="C926" t="s">
        <v>27</v>
      </c>
      <c r="D926" t="str">
        <f t="shared" si="18"/>
        <v>URANUS-Leo-Aquarius</v>
      </c>
      <c r="E926" s="17" t="s">
        <v>107</v>
      </c>
      <c r="F926" s="18" t="s">
        <v>10</v>
      </c>
      <c r="G926" s="19" t="s">
        <v>16</v>
      </c>
      <c r="H926" s="20" t="s">
        <v>98</v>
      </c>
      <c r="I926" s="18" t="s">
        <v>7</v>
      </c>
      <c r="J926" t="s">
        <v>27</v>
      </c>
    </row>
    <row r="927" spans="1:10" x14ac:dyDescent="0.25">
      <c r="A927" t="s">
        <v>28</v>
      </c>
      <c r="B927" s="16" t="s">
        <v>16</v>
      </c>
      <c r="C927" t="s">
        <v>29</v>
      </c>
      <c r="D927" t="str">
        <f t="shared" si="18"/>
        <v>URANUS-Leo-Pisces</v>
      </c>
      <c r="E927" s="17" t="s">
        <v>108</v>
      </c>
      <c r="F927" s="18" t="s">
        <v>18</v>
      </c>
      <c r="G927" s="19" t="s">
        <v>16</v>
      </c>
      <c r="H927" s="20" t="s">
        <v>100</v>
      </c>
      <c r="I927" s="18" t="s">
        <v>29</v>
      </c>
      <c r="J927" t="s">
        <v>27</v>
      </c>
    </row>
    <row r="928" spans="1:10" x14ac:dyDescent="0.25">
      <c r="A928" t="s">
        <v>28</v>
      </c>
      <c r="B928" s="16" t="s">
        <v>18</v>
      </c>
      <c r="C928" t="s">
        <v>7</v>
      </c>
      <c r="D928" t="str">
        <f t="shared" si="18"/>
        <v>URANUS-Virgo-Aries</v>
      </c>
      <c r="E928" s="17" t="s">
        <v>108</v>
      </c>
      <c r="F928" s="18" t="s">
        <v>18</v>
      </c>
      <c r="G928" s="19" t="s">
        <v>18</v>
      </c>
      <c r="H928" s="20" t="s">
        <v>102</v>
      </c>
      <c r="I928" s="18" t="s">
        <v>27</v>
      </c>
      <c r="J928" t="s">
        <v>27</v>
      </c>
    </row>
    <row r="929" spans="1:10" x14ac:dyDescent="0.25">
      <c r="A929" t="s">
        <v>28</v>
      </c>
      <c r="B929" s="16" t="s">
        <v>18</v>
      </c>
      <c r="C929" t="s">
        <v>9</v>
      </c>
      <c r="D929" t="str">
        <f t="shared" si="18"/>
        <v>URANUS-Virgo-Taurus</v>
      </c>
      <c r="E929" s="17" t="s">
        <v>109</v>
      </c>
      <c r="F929" s="18" t="s">
        <v>16</v>
      </c>
      <c r="G929" s="19" t="s">
        <v>18</v>
      </c>
      <c r="H929" s="20" t="s">
        <v>104</v>
      </c>
      <c r="I929" s="18" t="s">
        <v>25</v>
      </c>
      <c r="J929" t="s">
        <v>27</v>
      </c>
    </row>
    <row r="930" spans="1:10" x14ac:dyDescent="0.25">
      <c r="A930" t="s">
        <v>28</v>
      </c>
      <c r="B930" s="16" t="s">
        <v>18</v>
      </c>
      <c r="C930" t="s">
        <v>12</v>
      </c>
      <c r="D930" t="str">
        <f t="shared" si="18"/>
        <v>URANUS-Virgo-Gemini</v>
      </c>
      <c r="E930" s="17" t="s">
        <v>99</v>
      </c>
      <c r="F930" s="18" t="s">
        <v>14</v>
      </c>
      <c r="G930" s="19" t="s">
        <v>18</v>
      </c>
      <c r="H930" s="20" t="s">
        <v>105</v>
      </c>
      <c r="I930" s="18" t="s">
        <v>23</v>
      </c>
      <c r="J930" t="s">
        <v>27</v>
      </c>
    </row>
    <row r="931" spans="1:10" x14ac:dyDescent="0.25">
      <c r="A931" t="s">
        <v>28</v>
      </c>
      <c r="B931" s="16" t="s">
        <v>18</v>
      </c>
      <c r="C931" t="s">
        <v>14</v>
      </c>
      <c r="D931" t="str">
        <f t="shared" si="18"/>
        <v>URANUS-Virgo-Cancer</v>
      </c>
      <c r="E931" s="17" t="s">
        <v>101</v>
      </c>
      <c r="F931" s="18" t="s">
        <v>12</v>
      </c>
      <c r="G931" s="19" t="s">
        <v>18</v>
      </c>
      <c r="H931" s="20" t="s">
        <v>106</v>
      </c>
      <c r="I931" s="18" t="s">
        <v>21</v>
      </c>
      <c r="J931" t="s">
        <v>27</v>
      </c>
    </row>
    <row r="932" spans="1:10" x14ac:dyDescent="0.25">
      <c r="A932" t="s">
        <v>28</v>
      </c>
      <c r="B932" s="16" t="s">
        <v>18</v>
      </c>
      <c r="C932" t="s">
        <v>16</v>
      </c>
      <c r="D932" t="str">
        <f t="shared" si="18"/>
        <v>URANUS-Virgo-Leo</v>
      </c>
      <c r="E932" s="17" t="s">
        <v>103</v>
      </c>
      <c r="F932" s="18" t="s">
        <v>9</v>
      </c>
      <c r="G932" s="19" t="s">
        <v>18</v>
      </c>
      <c r="H932" s="20" t="s">
        <v>107</v>
      </c>
      <c r="I932" s="18" t="s">
        <v>10</v>
      </c>
      <c r="J932" t="s">
        <v>27</v>
      </c>
    </row>
    <row r="933" spans="1:10" x14ac:dyDescent="0.25">
      <c r="A933" t="s">
        <v>28</v>
      </c>
      <c r="B933" s="16" t="s">
        <v>18</v>
      </c>
      <c r="C933" t="s">
        <v>18</v>
      </c>
      <c r="D933" t="str">
        <f t="shared" ref="D933:D996" si="19">A933&amp;"-"&amp;B933&amp;"-"&amp;C933</f>
        <v>URANUS-Virgo-Virgo</v>
      </c>
      <c r="E933" s="17" t="s">
        <v>98</v>
      </c>
      <c r="F933" s="18" t="s">
        <v>7</v>
      </c>
      <c r="G933" s="19" t="s">
        <v>18</v>
      </c>
      <c r="H933" s="20" t="s">
        <v>108</v>
      </c>
      <c r="I933" s="18" t="s">
        <v>18</v>
      </c>
      <c r="J933" t="s">
        <v>27</v>
      </c>
    </row>
    <row r="934" spans="1:10" x14ac:dyDescent="0.25">
      <c r="A934" t="s">
        <v>28</v>
      </c>
      <c r="B934" s="16" t="s">
        <v>18</v>
      </c>
      <c r="C934" t="s">
        <v>10</v>
      </c>
      <c r="D934" t="str">
        <f t="shared" si="19"/>
        <v>URANUS-Virgo-Libra</v>
      </c>
      <c r="E934" s="17" t="s">
        <v>100</v>
      </c>
      <c r="F934" s="18" t="s">
        <v>29</v>
      </c>
      <c r="G934" s="19" t="s">
        <v>18</v>
      </c>
      <c r="H934" s="20" t="s">
        <v>109</v>
      </c>
      <c r="I934" s="18" t="s">
        <v>16</v>
      </c>
      <c r="J934" t="s">
        <v>27</v>
      </c>
    </row>
    <row r="935" spans="1:10" x14ac:dyDescent="0.25">
      <c r="A935" t="s">
        <v>28</v>
      </c>
      <c r="B935" s="16" t="s">
        <v>18</v>
      </c>
      <c r="C935" t="s">
        <v>21</v>
      </c>
      <c r="D935" t="str">
        <f t="shared" si="19"/>
        <v>URANUS-Virgo-Scorpio</v>
      </c>
      <c r="E935" s="17" t="s">
        <v>102</v>
      </c>
      <c r="F935" s="18" t="s">
        <v>27</v>
      </c>
      <c r="G935" s="19" t="s">
        <v>18</v>
      </c>
      <c r="H935" s="20" t="s">
        <v>99</v>
      </c>
      <c r="I935" s="18" t="s">
        <v>14</v>
      </c>
      <c r="J935" t="s">
        <v>27</v>
      </c>
    </row>
    <row r="936" spans="1:10" x14ac:dyDescent="0.25">
      <c r="A936" t="s">
        <v>28</v>
      </c>
      <c r="B936" s="16" t="s">
        <v>18</v>
      </c>
      <c r="C936" t="s">
        <v>23</v>
      </c>
      <c r="D936" t="str">
        <f t="shared" si="19"/>
        <v>URANUS-Virgo-Sagittarius</v>
      </c>
      <c r="E936" s="17" t="s">
        <v>104</v>
      </c>
      <c r="F936" s="18" t="s">
        <v>25</v>
      </c>
      <c r="G936" s="19" t="s">
        <v>18</v>
      </c>
      <c r="H936" s="20" t="s">
        <v>101</v>
      </c>
      <c r="I936" s="18" t="s">
        <v>12</v>
      </c>
      <c r="J936" t="s">
        <v>27</v>
      </c>
    </row>
    <row r="937" spans="1:10" x14ac:dyDescent="0.25">
      <c r="A937" t="s">
        <v>28</v>
      </c>
      <c r="B937" s="16" t="s">
        <v>18</v>
      </c>
      <c r="C937" t="s">
        <v>25</v>
      </c>
      <c r="D937" t="str">
        <f t="shared" si="19"/>
        <v>URANUS-Virgo-Capricorn</v>
      </c>
      <c r="E937" s="17" t="s">
        <v>105</v>
      </c>
      <c r="F937" s="18" t="s">
        <v>23</v>
      </c>
      <c r="G937" s="19" t="s">
        <v>18</v>
      </c>
      <c r="H937" s="20" t="s">
        <v>103</v>
      </c>
      <c r="I937" s="18" t="s">
        <v>9</v>
      </c>
      <c r="J937" t="s">
        <v>27</v>
      </c>
    </row>
    <row r="938" spans="1:10" x14ac:dyDescent="0.25">
      <c r="A938" t="s">
        <v>28</v>
      </c>
      <c r="B938" s="16" t="s">
        <v>18</v>
      </c>
      <c r="C938" t="s">
        <v>27</v>
      </c>
      <c r="D938" t="str">
        <f t="shared" si="19"/>
        <v>URANUS-Virgo-Aquarius</v>
      </c>
      <c r="E938" s="17" t="s">
        <v>106</v>
      </c>
      <c r="F938" s="18" t="s">
        <v>21</v>
      </c>
      <c r="G938" s="19" t="s">
        <v>18</v>
      </c>
      <c r="H938" s="20" t="s">
        <v>98</v>
      </c>
      <c r="I938" s="18" t="s">
        <v>7</v>
      </c>
      <c r="J938" t="s">
        <v>27</v>
      </c>
    </row>
    <row r="939" spans="1:10" x14ac:dyDescent="0.25">
      <c r="A939" t="s">
        <v>28</v>
      </c>
      <c r="B939" s="16" t="s">
        <v>18</v>
      </c>
      <c r="C939" t="s">
        <v>29</v>
      </c>
      <c r="D939" t="str">
        <f t="shared" si="19"/>
        <v>URANUS-Virgo-Pisces</v>
      </c>
      <c r="E939" s="17" t="s">
        <v>107</v>
      </c>
      <c r="F939" s="18" t="s">
        <v>10</v>
      </c>
      <c r="G939" s="19" t="s">
        <v>18</v>
      </c>
      <c r="H939" s="20" t="s">
        <v>100</v>
      </c>
      <c r="I939" s="18" t="s">
        <v>29</v>
      </c>
      <c r="J939" t="s">
        <v>27</v>
      </c>
    </row>
    <row r="940" spans="1:10" x14ac:dyDescent="0.25">
      <c r="A940" t="s">
        <v>28</v>
      </c>
      <c r="B940" s="16" t="s">
        <v>10</v>
      </c>
      <c r="C940" t="s">
        <v>7</v>
      </c>
      <c r="D940" t="str">
        <f t="shared" si="19"/>
        <v>URANUS-Libra-Aries</v>
      </c>
      <c r="E940" s="17" t="s">
        <v>107</v>
      </c>
      <c r="F940" s="18" t="s">
        <v>10</v>
      </c>
      <c r="G940" s="19" t="s">
        <v>10</v>
      </c>
      <c r="H940" s="20" t="s">
        <v>102</v>
      </c>
      <c r="I940" s="18" t="s">
        <v>27</v>
      </c>
      <c r="J940" t="s">
        <v>27</v>
      </c>
    </row>
    <row r="941" spans="1:10" x14ac:dyDescent="0.25">
      <c r="A941" t="s">
        <v>28</v>
      </c>
      <c r="B941" s="16" t="s">
        <v>10</v>
      </c>
      <c r="C941" t="s">
        <v>9</v>
      </c>
      <c r="D941" t="str">
        <f t="shared" si="19"/>
        <v>URANUS-Libra-Taurus</v>
      </c>
      <c r="E941" s="17" t="s">
        <v>108</v>
      </c>
      <c r="F941" s="18" t="s">
        <v>18</v>
      </c>
      <c r="G941" s="19" t="s">
        <v>10</v>
      </c>
      <c r="H941" s="20" t="s">
        <v>104</v>
      </c>
      <c r="I941" s="18" t="s">
        <v>25</v>
      </c>
      <c r="J941" t="s">
        <v>27</v>
      </c>
    </row>
    <row r="942" spans="1:10" x14ac:dyDescent="0.25">
      <c r="A942" t="s">
        <v>28</v>
      </c>
      <c r="B942" s="16" t="s">
        <v>10</v>
      </c>
      <c r="C942" t="s">
        <v>12</v>
      </c>
      <c r="D942" t="str">
        <f t="shared" si="19"/>
        <v>URANUS-Libra-Gemini</v>
      </c>
      <c r="E942" s="17" t="s">
        <v>109</v>
      </c>
      <c r="F942" s="18" t="s">
        <v>16</v>
      </c>
      <c r="G942" s="19" t="s">
        <v>10</v>
      </c>
      <c r="H942" s="20" t="s">
        <v>105</v>
      </c>
      <c r="I942" s="18" t="s">
        <v>23</v>
      </c>
      <c r="J942" t="s">
        <v>27</v>
      </c>
    </row>
    <row r="943" spans="1:10" x14ac:dyDescent="0.25">
      <c r="A943" t="s">
        <v>28</v>
      </c>
      <c r="B943" s="16" t="s">
        <v>10</v>
      </c>
      <c r="C943" t="s">
        <v>14</v>
      </c>
      <c r="D943" t="str">
        <f t="shared" si="19"/>
        <v>URANUS-Libra-Cancer</v>
      </c>
      <c r="E943" s="17" t="s">
        <v>99</v>
      </c>
      <c r="F943" s="18" t="s">
        <v>14</v>
      </c>
      <c r="G943" s="19" t="s">
        <v>10</v>
      </c>
      <c r="H943" s="20" t="s">
        <v>106</v>
      </c>
      <c r="I943" s="18" t="s">
        <v>21</v>
      </c>
      <c r="J943" t="s">
        <v>27</v>
      </c>
    </row>
    <row r="944" spans="1:10" x14ac:dyDescent="0.25">
      <c r="A944" t="s">
        <v>28</v>
      </c>
      <c r="B944" s="16" t="s">
        <v>10</v>
      </c>
      <c r="C944" t="s">
        <v>16</v>
      </c>
      <c r="D944" t="str">
        <f t="shared" si="19"/>
        <v>URANUS-Libra-Leo</v>
      </c>
      <c r="E944" s="17" t="s">
        <v>101</v>
      </c>
      <c r="F944" s="18" t="s">
        <v>12</v>
      </c>
      <c r="G944" s="19" t="s">
        <v>10</v>
      </c>
      <c r="H944" s="20" t="s">
        <v>107</v>
      </c>
      <c r="I944" s="18" t="s">
        <v>10</v>
      </c>
      <c r="J944" t="s">
        <v>27</v>
      </c>
    </row>
    <row r="945" spans="1:10" x14ac:dyDescent="0.25">
      <c r="A945" t="s">
        <v>28</v>
      </c>
      <c r="B945" s="16" t="s">
        <v>10</v>
      </c>
      <c r="C945" t="s">
        <v>18</v>
      </c>
      <c r="D945" t="str">
        <f t="shared" si="19"/>
        <v>URANUS-Libra-Virgo</v>
      </c>
      <c r="E945" s="17" t="s">
        <v>103</v>
      </c>
      <c r="F945" s="18" t="s">
        <v>9</v>
      </c>
      <c r="G945" s="19" t="s">
        <v>10</v>
      </c>
      <c r="H945" s="20" t="s">
        <v>108</v>
      </c>
      <c r="I945" s="18" t="s">
        <v>18</v>
      </c>
      <c r="J945" t="s">
        <v>27</v>
      </c>
    </row>
    <row r="946" spans="1:10" x14ac:dyDescent="0.25">
      <c r="A946" t="s">
        <v>28</v>
      </c>
      <c r="B946" s="16" t="s">
        <v>10</v>
      </c>
      <c r="C946" t="s">
        <v>10</v>
      </c>
      <c r="D946" t="str">
        <f t="shared" si="19"/>
        <v>URANUS-Libra-Libra</v>
      </c>
      <c r="E946" s="17" t="s">
        <v>98</v>
      </c>
      <c r="F946" s="18" t="s">
        <v>7</v>
      </c>
      <c r="G946" s="19" t="s">
        <v>10</v>
      </c>
      <c r="H946" s="20" t="s">
        <v>109</v>
      </c>
      <c r="I946" s="18" t="s">
        <v>16</v>
      </c>
      <c r="J946" t="s">
        <v>27</v>
      </c>
    </row>
    <row r="947" spans="1:10" x14ac:dyDescent="0.25">
      <c r="A947" t="s">
        <v>28</v>
      </c>
      <c r="B947" s="16" t="s">
        <v>10</v>
      </c>
      <c r="C947" t="s">
        <v>21</v>
      </c>
      <c r="D947" t="str">
        <f t="shared" si="19"/>
        <v>URANUS-Libra-Scorpio</v>
      </c>
      <c r="E947" s="17" t="s">
        <v>100</v>
      </c>
      <c r="F947" s="18" t="s">
        <v>29</v>
      </c>
      <c r="G947" s="19" t="s">
        <v>10</v>
      </c>
      <c r="H947" s="20" t="s">
        <v>99</v>
      </c>
      <c r="I947" s="18" t="s">
        <v>14</v>
      </c>
      <c r="J947" t="s">
        <v>27</v>
      </c>
    </row>
    <row r="948" spans="1:10" x14ac:dyDescent="0.25">
      <c r="A948" t="s">
        <v>28</v>
      </c>
      <c r="B948" s="16" t="s">
        <v>10</v>
      </c>
      <c r="C948" t="s">
        <v>23</v>
      </c>
      <c r="D948" t="str">
        <f t="shared" si="19"/>
        <v>URANUS-Libra-Sagittarius</v>
      </c>
      <c r="E948" s="17" t="s">
        <v>102</v>
      </c>
      <c r="F948" s="18" t="s">
        <v>27</v>
      </c>
      <c r="G948" s="19" t="s">
        <v>10</v>
      </c>
      <c r="H948" s="20" t="s">
        <v>101</v>
      </c>
      <c r="I948" s="18" t="s">
        <v>12</v>
      </c>
      <c r="J948" t="s">
        <v>27</v>
      </c>
    </row>
    <row r="949" spans="1:10" x14ac:dyDescent="0.25">
      <c r="A949" t="s">
        <v>28</v>
      </c>
      <c r="B949" s="16" t="s">
        <v>10</v>
      </c>
      <c r="C949" t="s">
        <v>25</v>
      </c>
      <c r="D949" t="str">
        <f t="shared" si="19"/>
        <v>URANUS-Libra-Capricorn</v>
      </c>
      <c r="E949" s="17" t="s">
        <v>104</v>
      </c>
      <c r="F949" s="18" t="s">
        <v>25</v>
      </c>
      <c r="G949" s="19" t="s">
        <v>10</v>
      </c>
      <c r="H949" s="20" t="s">
        <v>103</v>
      </c>
      <c r="I949" s="18" t="s">
        <v>9</v>
      </c>
      <c r="J949" t="s">
        <v>27</v>
      </c>
    </row>
    <row r="950" spans="1:10" x14ac:dyDescent="0.25">
      <c r="A950" t="s">
        <v>28</v>
      </c>
      <c r="B950" s="16" t="s">
        <v>10</v>
      </c>
      <c r="C950" t="s">
        <v>27</v>
      </c>
      <c r="D950" t="str">
        <f t="shared" si="19"/>
        <v>URANUS-Libra-Aquarius</v>
      </c>
      <c r="E950" s="17" t="s">
        <v>105</v>
      </c>
      <c r="F950" s="18" t="s">
        <v>23</v>
      </c>
      <c r="G950" s="19" t="s">
        <v>10</v>
      </c>
      <c r="H950" s="20" t="s">
        <v>98</v>
      </c>
      <c r="I950" s="18" t="s">
        <v>7</v>
      </c>
      <c r="J950" t="s">
        <v>27</v>
      </c>
    </row>
    <row r="951" spans="1:10" x14ac:dyDescent="0.25">
      <c r="A951" t="s">
        <v>28</v>
      </c>
      <c r="B951" s="16" t="s">
        <v>10</v>
      </c>
      <c r="C951" t="s">
        <v>29</v>
      </c>
      <c r="D951" t="str">
        <f t="shared" si="19"/>
        <v>URANUS-Libra-Pisces</v>
      </c>
      <c r="E951" s="17" t="s">
        <v>106</v>
      </c>
      <c r="F951" s="18" t="s">
        <v>21</v>
      </c>
      <c r="G951" s="19" t="s">
        <v>10</v>
      </c>
      <c r="H951" s="20" t="s">
        <v>100</v>
      </c>
      <c r="I951" s="18" t="s">
        <v>29</v>
      </c>
      <c r="J951" t="s">
        <v>27</v>
      </c>
    </row>
    <row r="952" spans="1:10" x14ac:dyDescent="0.25">
      <c r="A952" t="s">
        <v>28</v>
      </c>
      <c r="B952" s="16" t="s">
        <v>21</v>
      </c>
      <c r="C952" t="s">
        <v>7</v>
      </c>
      <c r="D952" t="str">
        <f t="shared" si="19"/>
        <v>URANUS-Scorpio-Aries</v>
      </c>
      <c r="E952" s="17" t="s">
        <v>106</v>
      </c>
      <c r="F952" s="18" t="s">
        <v>21</v>
      </c>
      <c r="G952" s="19" t="s">
        <v>21</v>
      </c>
      <c r="H952" s="20" t="s">
        <v>102</v>
      </c>
      <c r="I952" s="18" t="s">
        <v>27</v>
      </c>
      <c r="J952" t="s">
        <v>27</v>
      </c>
    </row>
    <row r="953" spans="1:10" x14ac:dyDescent="0.25">
      <c r="A953" t="s">
        <v>28</v>
      </c>
      <c r="B953" s="16" t="s">
        <v>21</v>
      </c>
      <c r="C953" t="s">
        <v>9</v>
      </c>
      <c r="D953" t="str">
        <f t="shared" si="19"/>
        <v>URANUS-Scorpio-Taurus</v>
      </c>
      <c r="E953" s="17" t="s">
        <v>107</v>
      </c>
      <c r="F953" s="18" t="s">
        <v>10</v>
      </c>
      <c r="G953" s="19" t="s">
        <v>21</v>
      </c>
      <c r="H953" s="20" t="s">
        <v>104</v>
      </c>
      <c r="I953" s="18" t="s">
        <v>25</v>
      </c>
      <c r="J953" t="s">
        <v>27</v>
      </c>
    </row>
    <row r="954" spans="1:10" x14ac:dyDescent="0.25">
      <c r="A954" t="s">
        <v>28</v>
      </c>
      <c r="B954" s="16" t="s">
        <v>21</v>
      </c>
      <c r="C954" t="s">
        <v>12</v>
      </c>
      <c r="D954" t="str">
        <f t="shared" si="19"/>
        <v>URANUS-Scorpio-Gemini</v>
      </c>
      <c r="E954" s="17" t="s">
        <v>108</v>
      </c>
      <c r="F954" s="18" t="s">
        <v>18</v>
      </c>
      <c r="G954" s="19" t="s">
        <v>21</v>
      </c>
      <c r="H954" s="20" t="s">
        <v>105</v>
      </c>
      <c r="I954" s="18" t="s">
        <v>23</v>
      </c>
      <c r="J954" t="s">
        <v>27</v>
      </c>
    </row>
    <row r="955" spans="1:10" x14ac:dyDescent="0.25">
      <c r="A955" t="s">
        <v>28</v>
      </c>
      <c r="B955" s="16" t="s">
        <v>21</v>
      </c>
      <c r="C955" t="s">
        <v>14</v>
      </c>
      <c r="D955" t="str">
        <f t="shared" si="19"/>
        <v>URANUS-Scorpio-Cancer</v>
      </c>
      <c r="E955" s="17" t="s">
        <v>109</v>
      </c>
      <c r="F955" s="18" t="s">
        <v>16</v>
      </c>
      <c r="G955" s="19" t="s">
        <v>21</v>
      </c>
      <c r="H955" s="20" t="s">
        <v>106</v>
      </c>
      <c r="I955" s="18" t="s">
        <v>21</v>
      </c>
      <c r="J955" t="s">
        <v>27</v>
      </c>
    </row>
    <row r="956" spans="1:10" x14ac:dyDescent="0.25">
      <c r="A956" t="s">
        <v>28</v>
      </c>
      <c r="B956" s="16" t="s">
        <v>21</v>
      </c>
      <c r="C956" t="s">
        <v>16</v>
      </c>
      <c r="D956" t="str">
        <f t="shared" si="19"/>
        <v>URANUS-Scorpio-Leo</v>
      </c>
      <c r="E956" s="17" t="s">
        <v>99</v>
      </c>
      <c r="F956" s="18" t="s">
        <v>14</v>
      </c>
      <c r="G956" s="19" t="s">
        <v>21</v>
      </c>
      <c r="H956" s="20" t="s">
        <v>107</v>
      </c>
      <c r="I956" s="18" t="s">
        <v>10</v>
      </c>
      <c r="J956" t="s">
        <v>27</v>
      </c>
    </row>
    <row r="957" spans="1:10" x14ac:dyDescent="0.25">
      <c r="A957" t="s">
        <v>28</v>
      </c>
      <c r="B957" s="16" t="s">
        <v>21</v>
      </c>
      <c r="C957" t="s">
        <v>18</v>
      </c>
      <c r="D957" t="str">
        <f t="shared" si="19"/>
        <v>URANUS-Scorpio-Virgo</v>
      </c>
      <c r="E957" s="17" t="s">
        <v>101</v>
      </c>
      <c r="F957" s="18" t="s">
        <v>12</v>
      </c>
      <c r="G957" s="19" t="s">
        <v>21</v>
      </c>
      <c r="H957" s="20" t="s">
        <v>108</v>
      </c>
      <c r="I957" s="18" t="s">
        <v>18</v>
      </c>
      <c r="J957" t="s">
        <v>27</v>
      </c>
    </row>
    <row r="958" spans="1:10" x14ac:dyDescent="0.25">
      <c r="A958" t="s">
        <v>28</v>
      </c>
      <c r="B958" s="16" t="s">
        <v>21</v>
      </c>
      <c r="C958" t="s">
        <v>10</v>
      </c>
      <c r="D958" t="str">
        <f t="shared" si="19"/>
        <v>URANUS-Scorpio-Libra</v>
      </c>
      <c r="E958" s="17" t="s">
        <v>103</v>
      </c>
      <c r="F958" s="18" t="s">
        <v>9</v>
      </c>
      <c r="G958" s="19" t="s">
        <v>21</v>
      </c>
      <c r="H958" s="20" t="s">
        <v>109</v>
      </c>
      <c r="I958" s="18" t="s">
        <v>16</v>
      </c>
      <c r="J958" t="s">
        <v>27</v>
      </c>
    </row>
    <row r="959" spans="1:10" x14ac:dyDescent="0.25">
      <c r="A959" t="s">
        <v>28</v>
      </c>
      <c r="B959" s="16" t="s">
        <v>21</v>
      </c>
      <c r="C959" t="s">
        <v>21</v>
      </c>
      <c r="D959" t="str">
        <f t="shared" si="19"/>
        <v>URANUS-Scorpio-Scorpio</v>
      </c>
      <c r="E959" s="17" t="s">
        <v>98</v>
      </c>
      <c r="F959" s="18" t="s">
        <v>7</v>
      </c>
      <c r="G959" s="19" t="s">
        <v>21</v>
      </c>
      <c r="H959" s="20" t="s">
        <v>99</v>
      </c>
      <c r="I959" s="18" t="s">
        <v>14</v>
      </c>
      <c r="J959" t="s">
        <v>27</v>
      </c>
    </row>
    <row r="960" spans="1:10" x14ac:dyDescent="0.25">
      <c r="A960" t="s">
        <v>28</v>
      </c>
      <c r="B960" s="16" t="s">
        <v>21</v>
      </c>
      <c r="C960" t="s">
        <v>23</v>
      </c>
      <c r="D960" t="str">
        <f t="shared" si="19"/>
        <v>URANUS-Scorpio-Sagittarius</v>
      </c>
      <c r="E960" s="17" t="s">
        <v>100</v>
      </c>
      <c r="F960" s="18" t="s">
        <v>29</v>
      </c>
      <c r="G960" s="19" t="s">
        <v>21</v>
      </c>
      <c r="H960" s="20" t="s">
        <v>101</v>
      </c>
      <c r="I960" s="18" t="s">
        <v>12</v>
      </c>
      <c r="J960" t="s">
        <v>27</v>
      </c>
    </row>
    <row r="961" spans="1:10" x14ac:dyDescent="0.25">
      <c r="A961" t="s">
        <v>28</v>
      </c>
      <c r="B961" s="16" t="s">
        <v>21</v>
      </c>
      <c r="C961" t="s">
        <v>25</v>
      </c>
      <c r="D961" t="str">
        <f t="shared" si="19"/>
        <v>URANUS-Scorpio-Capricorn</v>
      </c>
      <c r="E961" s="17" t="s">
        <v>102</v>
      </c>
      <c r="F961" s="18" t="s">
        <v>27</v>
      </c>
      <c r="G961" s="19" t="s">
        <v>21</v>
      </c>
      <c r="H961" s="20" t="s">
        <v>103</v>
      </c>
      <c r="I961" s="18" t="s">
        <v>9</v>
      </c>
      <c r="J961" t="s">
        <v>27</v>
      </c>
    </row>
    <row r="962" spans="1:10" x14ac:dyDescent="0.25">
      <c r="A962" t="s">
        <v>28</v>
      </c>
      <c r="B962" s="16" t="s">
        <v>21</v>
      </c>
      <c r="C962" t="s">
        <v>27</v>
      </c>
      <c r="D962" t="str">
        <f t="shared" si="19"/>
        <v>URANUS-Scorpio-Aquarius</v>
      </c>
      <c r="E962" s="17" t="s">
        <v>104</v>
      </c>
      <c r="F962" s="18" t="s">
        <v>25</v>
      </c>
      <c r="G962" s="19" t="s">
        <v>21</v>
      </c>
      <c r="H962" s="20" t="s">
        <v>98</v>
      </c>
      <c r="I962" s="18" t="s">
        <v>7</v>
      </c>
      <c r="J962" t="s">
        <v>27</v>
      </c>
    </row>
    <row r="963" spans="1:10" x14ac:dyDescent="0.25">
      <c r="A963" t="s">
        <v>28</v>
      </c>
      <c r="B963" s="16" t="s">
        <v>21</v>
      </c>
      <c r="C963" t="s">
        <v>29</v>
      </c>
      <c r="D963" t="str">
        <f t="shared" si="19"/>
        <v>URANUS-Scorpio-Pisces</v>
      </c>
      <c r="E963" s="17" t="s">
        <v>105</v>
      </c>
      <c r="F963" s="18" t="s">
        <v>23</v>
      </c>
      <c r="G963" s="19" t="s">
        <v>21</v>
      </c>
      <c r="H963" s="20" t="s">
        <v>100</v>
      </c>
      <c r="I963" s="18" t="s">
        <v>29</v>
      </c>
      <c r="J963" t="s">
        <v>27</v>
      </c>
    </row>
    <row r="964" spans="1:10" x14ac:dyDescent="0.25">
      <c r="A964" t="s">
        <v>28</v>
      </c>
      <c r="B964" s="16" t="s">
        <v>23</v>
      </c>
      <c r="C964" t="s">
        <v>7</v>
      </c>
      <c r="D964" t="str">
        <f t="shared" si="19"/>
        <v>URANUS-Sagittarius-Aries</v>
      </c>
      <c r="E964" s="17" t="s">
        <v>105</v>
      </c>
      <c r="F964" s="18" t="s">
        <v>23</v>
      </c>
      <c r="G964" s="19" t="s">
        <v>23</v>
      </c>
      <c r="H964" s="20" t="s">
        <v>102</v>
      </c>
      <c r="I964" s="18" t="s">
        <v>27</v>
      </c>
      <c r="J964" t="s">
        <v>27</v>
      </c>
    </row>
    <row r="965" spans="1:10" x14ac:dyDescent="0.25">
      <c r="A965" t="s">
        <v>28</v>
      </c>
      <c r="B965" s="16" t="s">
        <v>23</v>
      </c>
      <c r="C965" t="s">
        <v>9</v>
      </c>
      <c r="D965" t="str">
        <f t="shared" si="19"/>
        <v>URANUS-Sagittarius-Taurus</v>
      </c>
      <c r="E965" s="17" t="s">
        <v>106</v>
      </c>
      <c r="F965" s="18" t="s">
        <v>21</v>
      </c>
      <c r="G965" s="19" t="s">
        <v>23</v>
      </c>
      <c r="H965" s="20" t="s">
        <v>104</v>
      </c>
      <c r="I965" s="18" t="s">
        <v>25</v>
      </c>
      <c r="J965" t="s">
        <v>27</v>
      </c>
    </row>
    <row r="966" spans="1:10" x14ac:dyDescent="0.25">
      <c r="A966" t="s">
        <v>28</v>
      </c>
      <c r="B966" s="16" t="s">
        <v>23</v>
      </c>
      <c r="C966" t="s">
        <v>12</v>
      </c>
      <c r="D966" t="str">
        <f t="shared" si="19"/>
        <v>URANUS-Sagittarius-Gemini</v>
      </c>
      <c r="E966" s="17" t="s">
        <v>107</v>
      </c>
      <c r="F966" s="18" t="s">
        <v>10</v>
      </c>
      <c r="G966" s="19" t="s">
        <v>23</v>
      </c>
      <c r="H966" s="20" t="s">
        <v>105</v>
      </c>
      <c r="I966" s="18" t="s">
        <v>23</v>
      </c>
      <c r="J966" t="s">
        <v>27</v>
      </c>
    </row>
    <row r="967" spans="1:10" x14ac:dyDescent="0.25">
      <c r="A967" t="s">
        <v>28</v>
      </c>
      <c r="B967" s="16" t="s">
        <v>23</v>
      </c>
      <c r="C967" t="s">
        <v>14</v>
      </c>
      <c r="D967" t="str">
        <f t="shared" si="19"/>
        <v>URANUS-Sagittarius-Cancer</v>
      </c>
      <c r="E967" s="17" t="s">
        <v>108</v>
      </c>
      <c r="F967" s="18" t="s">
        <v>18</v>
      </c>
      <c r="G967" s="19" t="s">
        <v>23</v>
      </c>
      <c r="H967" s="20" t="s">
        <v>106</v>
      </c>
      <c r="I967" s="18" t="s">
        <v>21</v>
      </c>
      <c r="J967" t="s">
        <v>27</v>
      </c>
    </row>
    <row r="968" spans="1:10" x14ac:dyDescent="0.25">
      <c r="A968" t="s">
        <v>28</v>
      </c>
      <c r="B968" s="16" t="s">
        <v>23</v>
      </c>
      <c r="C968" t="s">
        <v>16</v>
      </c>
      <c r="D968" t="str">
        <f t="shared" si="19"/>
        <v>URANUS-Sagittarius-Leo</v>
      </c>
      <c r="E968" s="17" t="s">
        <v>109</v>
      </c>
      <c r="F968" s="18" t="s">
        <v>16</v>
      </c>
      <c r="G968" s="19" t="s">
        <v>23</v>
      </c>
      <c r="H968" s="20" t="s">
        <v>107</v>
      </c>
      <c r="I968" s="18" t="s">
        <v>10</v>
      </c>
      <c r="J968" t="s">
        <v>27</v>
      </c>
    </row>
    <row r="969" spans="1:10" x14ac:dyDescent="0.25">
      <c r="A969" t="s">
        <v>28</v>
      </c>
      <c r="B969" s="16" t="s">
        <v>23</v>
      </c>
      <c r="C969" t="s">
        <v>18</v>
      </c>
      <c r="D969" t="str">
        <f t="shared" si="19"/>
        <v>URANUS-Sagittarius-Virgo</v>
      </c>
      <c r="E969" s="17" t="s">
        <v>99</v>
      </c>
      <c r="F969" s="18" t="s">
        <v>14</v>
      </c>
      <c r="G969" s="19" t="s">
        <v>23</v>
      </c>
      <c r="H969" s="20" t="s">
        <v>108</v>
      </c>
      <c r="I969" s="18" t="s">
        <v>18</v>
      </c>
      <c r="J969" t="s">
        <v>27</v>
      </c>
    </row>
    <row r="970" spans="1:10" x14ac:dyDescent="0.25">
      <c r="A970" t="s">
        <v>28</v>
      </c>
      <c r="B970" s="16" t="s">
        <v>23</v>
      </c>
      <c r="C970" t="s">
        <v>10</v>
      </c>
      <c r="D970" t="str">
        <f t="shared" si="19"/>
        <v>URANUS-Sagittarius-Libra</v>
      </c>
      <c r="E970" s="17" t="s">
        <v>101</v>
      </c>
      <c r="F970" s="18" t="s">
        <v>12</v>
      </c>
      <c r="G970" s="19" t="s">
        <v>23</v>
      </c>
      <c r="H970" s="20" t="s">
        <v>109</v>
      </c>
      <c r="I970" s="18" t="s">
        <v>16</v>
      </c>
      <c r="J970" t="s">
        <v>27</v>
      </c>
    </row>
    <row r="971" spans="1:10" x14ac:dyDescent="0.25">
      <c r="A971" t="s">
        <v>28</v>
      </c>
      <c r="B971" s="16" t="s">
        <v>23</v>
      </c>
      <c r="C971" t="s">
        <v>21</v>
      </c>
      <c r="D971" t="str">
        <f t="shared" si="19"/>
        <v>URANUS-Sagittarius-Scorpio</v>
      </c>
      <c r="E971" s="17" t="s">
        <v>103</v>
      </c>
      <c r="F971" s="18" t="s">
        <v>9</v>
      </c>
      <c r="G971" s="19" t="s">
        <v>23</v>
      </c>
      <c r="H971" s="20" t="s">
        <v>99</v>
      </c>
      <c r="I971" s="18" t="s">
        <v>14</v>
      </c>
      <c r="J971" t="s">
        <v>27</v>
      </c>
    </row>
    <row r="972" spans="1:10" x14ac:dyDescent="0.25">
      <c r="A972" t="s">
        <v>28</v>
      </c>
      <c r="B972" s="16" t="s">
        <v>23</v>
      </c>
      <c r="C972" t="s">
        <v>23</v>
      </c>
      <c r="D972" t="str">
        <f t="shared" si="19"/>
        <v>URANUS-Sagittarius-Sagittarius</v>
      </c>
      <c r="E972" s="17" t="s">
        <v>98</v>
      </c>
      <c r="F972" s="18" t="s">
        <v>7</v>
      </c>
      <c r="G972" s="19" t="s">
        <v>23</v>
      </c>
      <c r="H972" s="20" t="s">
        <v>101</v>
      </c>
      <c r="I972" s="18" t="s">
        <v>12</v>
      </c>
      <c r="J972" t="s">
        <v>27</v>
      </c>
    </row>
    <row r="973" spans="1:10" x14ac:dyDescent="0.25">
      <c r="A973" t="s">
        <v>28</v>
      </c>
      <c r="B973" s="16" t="s">
        <v>23</v>
      </c>
      <c r="C973" t="s">
        <v>25</v>
      </c>
      <c r="D973" t="str">
        <f t="shared" si="19"/>
        <v>URANUS-Sagittarius-Capricorn</v>
      </c>
      <c r="E973" s="17" t="s">
        <v>100</v>
      </c>
      <c r="F973" s="18" t="s">
        <v>29</v>
      </c>
      <c r="G973" s="19" t="s">
        <v>23</v>
      </c>
      <c r="H973" s="20" t="s">
        <v>103</v>
      </c>
      <c r="I973" s="18" t="s">
        <v>9</v>
      </c>
      <c r="J973" t="s">
        <v>27</v>
      </c>
    </row>
    <row r="974" spans="1:10" x14ac:dyDescent="0.25">
      <c r="A974" t="s">
        <v>28</v>
      </c>
      <c r="B974" s="16" t="s">
        <v>23</v>
      </c>
      <c r="C974" t="s">
        <v>27</v>
      </c>
      <c r="D974" t="str">
        <f t="shared" si="19"/>
        <v>URANUS-Sagittarius-Aquarius</v>
      </c>
      <c r="E974" s="17" t="s">
        <v>102</v>
      </c>
      <c r="F974" s="18" t="s">
        <v>27</v>
      </c>
      <c r="G974" s="19" t="s">
        <v>23</v>
      </c>
      <c r="H974" s="20" t="s">
        <v>98</v>
      </c>
      <c r="I974" s="18" t="s">
        <v>7</v>
      </c>
      <c r="J974" t="s">
        <v>27</v>
      </c>
    </row>
    <row r="975" spans="1:10" x14ac:dyDescent="0.25">
      <c r="A975" t="s">
        <v>28</v>
      </c>
      <c r="B975" s="16" t="s">
        <v>23</v>
      </c>
      <c r="C975" t="s">
        <v>29</v>
      </c>
      <c r="D975" t="str">
        <f t="shared" si="19"/>
        <v>URANUS-Sagittarius-Pisces</v>
      </c>
      <c r="E975" s="17" t="s">
        <v>104</v>
      </c>
      <c r="F975" s="18" t="s">
        <v>25</v>
      </c>
      <c r="G975" s="19" t="s">
        <v>23</v>
      </c>
      <c r="H975" s="20" t="s">
        <v>100</v>
      </c>
      <c r="I975" s="18" t="s">
        <v>29</v>
      </c>
      <c r="J975" t="s">
        <v>27</v>
      </c>
    </row>
    <row r="976" spans="1:10" x14ac:dyDescent="0.25">
      <c r="A976" t="s">
        <v>28</v>
      </c>
      <c r="B976" s="16" t="s">
        <v>25</v>
      </c>
      <c r="C976" t="s">
        <v>7</v>
      </c>
      <c r="D976" t="str">
        <f t="shared" si="19"/>
        <v>URANUS-Capricorn-Aries</v>
      </c>
      <c r="E976" s="17" t="s">
        <v>104</v>
      </c>
      <c r="F976" s="18" t="s">
        <v>25</v>
      </c>
      <c r="G976" s="19" t="s">
        <v>25</v>
      </c>
      <c r="H976" s="20" t="s">
        <v>102</v>
      </c>
      <c r="I976" s="18" t="s">
        <v>27</v>
      </c>
      <c r="J976" t="s">
        <v>27</v>
      </c>
    </row>
    <row r="977" spans="1:10" x14ac:dyDescent="0.25">
      <c r="A977" t="s">
        <v>28</v>
      </c>
      <c r="B977" s="16" t="s">
        <v>25</v>
      </c>
      <c r="C977" t="s">
        <v>9</v>
      </c>
      <c r="D977" t="str">
        <f t="shared" si="19"/>
        <v>URANUS-Capricorn-Taurus</v>
      </c>
      <c r="E977" s="17" t="s">
        <v>105</v>
      </c>
      <c r="F977" s="18" t="s">
        <v>23</v>
      </c>
      <c r="G977" s="19" t="s">
        <v>25</v>
      </c>
      <c r="H977" s="20" t="s">
        <v>104</v>
      </c>
      <c r="I977" s="18" t="s">
        <v>25</v>
      </c>
      <c r="J977" t="s">
        <v>27</v>
      </c>
    </row>
    <row r="978" spans="1:10" x14ac:dyDescent="0.25">
      <c r="A978" t="s">
        <v>28</v>
      </c>
      <c r="B978" s="16" t="s">
        <v>25</v>
      </c>
      <c r="C978" t="s">
        <v>12</v>
      </c>
      <c r="D978" t="str">
        <f t="shared" si="19"/>
        <v>URANUS-Capricorn-Gemini</v>
      </c>
      <c r="E978" s="17" t="s">
        <v>106</v>
      </c>
      <c r="F978" s="18" t="s">
        <v>21</v>
      </c>
      <c r="G978" s="19" t="s">
        <v>25</v>
      </c>
      <c r="H978" s="20" t="s">
        <v>105</v>
      </c>
      <c r="I978" s="18" t="s">
        <v>23</v>
      </c>
      <c r="J978" t="s">
        <v>27</v>
      </c>
    </row>
    <row r="979" spans="1:10" x14ac:dyDescent="0.25">
      <c r="A979" t="s">
        <v>28</v>
      </c>
      <c r="B979" s="16" t="s">
        <v>25</v>
      </c>
      <c r="C979" t="s">
        <v>14</v>
      </c>
      <c r="D979" t="str">
        <f t="shared" si="19"/>
        <v>URANUS-Capricorn-Cancer</v>
      </c>
      <c r="E979" s="17" t="s">
        <v>107</v>
      </c>
      <c r="F979" s="18" t="s">
        <v>10</v>
      </c>
      <c r="G979" s="19" t="s">
        <v>25</v>
      </c>
      <c r="H979" s="20" t="s">
        <v>106</v>
      </c>
      <c r="I979" s="18" t="s">
        <v>21</v>
      </c>
      <c r="J979" t="s">
        <v>27</v>
      </c>
    </row>
    <row r="980" spans="1:10" x14ac:dyDescent="0.25">
      <c r="A980" t="s">
        <v>28</v>
      </c>
      <c r="B980" s="16" t="s">
        <v>25</v>
      </c>
      <c r="C980" t="s">
        <v>16</v>
      </c>
      <c r="D980" t="str">
        <f t="shared" si="19"/>
        <v>URANUS-Capricorn-Leo</v>
      </c>
      <c r="E980" s="17" t="s">
        <v>108</v>
      </c>
      <c r="F980" s="18" t="s">
        <v>18</v>
      </c>
      <c r="G980" s="19" t="s">
        <v>25</v>
      </c>
      <c r="H980" s="20" t="s">
        <v>107</v>
      </c>
      <c r="I980" s="18" t="s">
        <v>10</v>
      </c>
      <c r="J980" t="s">
        <v>27</v>
      </c>
    </row>
    <row r="981" spans="1:10" x14ac:dyDescent="0.25">
      <c r="A981" t="s">
        <v>28</v>
      </c>
      <c r="B981" s="16" t="s">
        <v>25</v>
      </c>
      <c r="C981" t="s">
        <v>18</v>
      </c>
      <c r="D981" t="str">
        <f t="shared" si="19"/>
        <v>URANUS-Capricorn-Virgo</v>
      </c>
      <c r="E981" s="17" t="s">
        <v>109</v>
      </c>
      <c r="F981" s="18" t="s">
        <v>16</v>
      </c>
      <c r="G981" s="19" t="s">
        <v>25</v>
      </c>
      <c r="H981" s="20" t="s">
        <v>108</v>
      </c>
      <c r="I981" s="18" t="s">
        <v>18</v>
      </c>
      <c r="J981" t="s">
        <v>27</v>
      </c>
    </row>
    <row r="982" spans="1:10" x14ac:dyDescent="0.25">
      <c r="A982" t="s">
        <v>28</v>
      </c>
      <c r="B982" s="16" t="s">
        <v>25</v>
      </c>
      <c r="C982" t="s">
        <v>10</v>
      </c>
      <c r="D982" t="str">
        <f t="shared" si="19"/>
        <v>URANUS-Capricorn-Libra</v>
      </c>
      <c r="E982" s="17" t="s">
        <v>99</v>
      </c>
      <c r="F982" s="18" t="s">
        <v>14</v>
      </c>
      <c r="G982" s="19" t="s">
        <v>25</v>
      </c>
      <c r="H982" s="20" t="s">
        <v>109</v>
      </c>
      <c r="I982" s="18" t="s">
        <v>16</v>
      </c>
      <c r="J982" t="s">
        <v>27</v>
      </c>
    </row>
    <row r="983" spans="1:10" x14ac:dyDescent="0.25">
      <c r="A983" t="s">
        <v>28</v>
      </c>
      <c r="B983" s="16" t="s">
        <v>25</v>
      </c>
      <c r="C983" t="s">
        <v>21</v>
      </c>
      <c r="D983" t="str">
        <f t="shared" si="19"/>
        <v>URANUS-Capricorn-Scorpio</v>
      </c>
      <c r="E983" s="17" t="s">
        <v>101</v>
      </c>
      <c r="F983" s="18" t="s">
        <v>12</v>
      </c>
      <c r="G983" s="19" t="s">
        <v>25</v>
      </c>
      <c r="H983" s="20" t="s">
        <v>99</v>
      </c>
      <c r="I983" s="18" t="s">
        <v>14</v>
      </c>
      <c r="J983" t="s">
        <v>27</v>
      </c>
    </row>
    <row r="984" spans="1:10" x14ac:dyDescent="0.25">
      <c r="A984" t="s">
        <v>28</v>
      </c>
      <c r="B984" s="16" t="s">
        <v>25</v>
      </c>
      <c r="C984" t="s">
        <v>23</v>
      </c>
      <c r="D984" t="str">
        <f t="shared" si="19"/>
        <v>URANUS-Capricorn-Sagittarius</v>
      </c>
      <c r="E984" s="17" t="s">
        <v>103</v>
      </c>
      <c r="F984" s="18" t="s">
        <v>9</v>
      </c>
      <c r="G984" s="19" t="s">
        <v>25</v>
      </c>
      <c r="H984" s="20" t="s">
        <v>101</v>
      </c>
      <c r="I984" s="18" t="s">
        <v>12</v>
      </c>
      <c r="J984" t="s">
        <v>27</v>
      </c>
    </row>
    <row r="985" spans="1:10" x14ac:dyDescent="0.25">
      <c r="A985" t="s">
        <v>28</v>
      </c>
      <c r="B985" s="16" t="s">
        <v>25</v>
      </c>
      <c r="C985" t="s">
        <v>25</v>
      </c>
      <c r="D985" t="str">
        <f t="shared" si="19"/>
        <v>URANUS-Capricorn-Capricorn</v>
      </c>
      <c r="E985" s="17" t="s">
        <v>98</v>
      </c>
      <c r="F985" s="18" t="s">
        <v>7</v>
      </c>
      <c r="G985" s="19" t="s">
        <v>25</v>
      </c>
      <c r="H985" s="20" t="s">
        <v>103</v>
      </c>
      <c r="I985" s="18" t="s">
        <v>9</v>
      </c>
      <c r="J985" t="s">
        <v>27</v>
      </c>
    </row>
    <row r="986" spans="1:10" x14ac:dyDescent="0.25">
      <c r="A986" t="s">
        <v>28</v>
      </c>
      <c r="B986" s="16" t="s">
        <v>25</v>
      </c>
      <c r="C986" t="s">
        <v>27</v>
      </c>
      <c r="D986" t="str">
        <f t="shared" si="19"/>
        <v>URANUS-Capricorn-Aquarius</v>
      </c>
      <c r="E986" s="17" t="s">
        <v>100</v>
      </c>
      <c r="F986" s="18" t="s">
        <v>29</v>
      </c>
      <c r="G986" s="19" t="s">
        <v>25</v>
      </c>
      <c r="H986" s="20" t="s">
        <v>98</v>
      </c>
      <c r="I986" s="18" t="s">
        <v>7</v>
      </c>
      <c r="J986" t="s">
        <v>27</v>
      </c>
    </row>
    <row r="987" spans="1:10" x14ac:dyDescent="0.25">
      <c r="A987" t="s">
        <v>28</v>
      </c>
      <c r="B987" s="16" t="s">
        <v>25</v>
      </c>
      <c r="C987" t="s">
        <v>29</v>
      </c>
      <c r="D987" t="str">
        <f t="shared" si="19"/>
        <v>URANUS-Capricorn-Pisces</v>
      </c>
      <c r="E987" s="17" t="s">
        <v>102</v>
      </c>
      <c r="F987" s="18" t="s">
        <v>27</v>
      </c>
      <c r="G987" s="19" t="s">
        <v>25</v>
      </c>
      <c r="H987" s="20" t="s">
        <v>100</v>
      </c>
      <c r="I987" s="18" t="s">
        <v>29</v>
      </c>
      <c r="J987" t="s">
        <v>27</v>
      </c>
    </row>
    <row r="988" spans="1:10" x14ac:dyDescent="0.25">
      <c r="A988" t="s">
        <v>28</v>
      </c>
      <c r="B988" s="16" t="s">
        <v>27</v>
      </c>
      <c r="C988" t="s">
        <v>7</v>
      </c>
      <c r="D988" t="str">
        <f t="shared" si="19"/>
        <v>URANUS-Aquarius-Aries</v>
      </c>
      <c r="E988" s="17" t="s">
        <v>102</v>
      </c>
      <c r="F988" s="18" t="s">
        <v>27</v>
      </c>
      <c r="G988" s="19" t="s">
        <v>27</v>
      </c>
      <c r="H988" s="20" t="s">
        <v>102</v>
      </c>
      <c r="I988" s="18" t="s">
        <v>27</v>
      </c>
      <c r="J988" t="s">
        <v>27</v>
      </c>
    </row>
    <row r="989" spans="1:10" x14ac:dyDescent="0.25">
      <c r="A989" t="s">
        <v>28</v>
      </c>
      <c r="B989" s="16" t="s">
        <v>27</v>
      </c>
      <c r="C989" t="s">
        <v>9</v>
      </c>
      <c r="D989" t="str">
        <f t="shared" si="19"/>
        <v>URANUS-Aquarius-Taurus</v>
      </c>
      <c r="E989" s="17" t="s">
        <v>104</v>
      </c>
      <c r="F989" s="18" t="s">
        <v>25</v>
      </c>
      <c r="G989" s="19" t="s">
        <v>27</v>
      </c>
      <c r="H989" s="20" t="s">
        <v>104</v>
      </c>
      <c r="I989" s="18" t="s">
        <v>25</v>
      </c>
      <c r="J989" t="s">
        <v>27</v>
      </c>
    </row>
    <row r="990" spans="1:10" x14ac:dyDescent="0.25">
      <c r="A990" t="s">
        <v>28</v>
      </c>
      <c r="B990" s="16" t="s">
        <v>27</v>
      </c>
      <c r="C990" t="s">
        <v>12</v>
      </c>
      <c r="D990" t="str">
        <f t="shared" si="19"/>
        <v>URANUS-Aquarius-Gemini</v>
      </c>
      <c r="E990" s="17" t="s">
        <v>105</v>
      </c>
      <c r="F990" s="18" t="s">
        <v>23</v>
      </c>
      <c r="G990" s="19" t="s">
        <v>27</v>
      </c>
      <c r="H990" s="20" t="s">
        <v>105</v>
      </c>
      <c r="I990" s="18" t="s">
        <v>23</v>
      </c>
      <c r="J990" t="s">
        <v>27</v>
      </c>
    </row>
    <row r="991" spans="1:10" x14ac:dyDescent="0.25">
      <c r="A991" t="s">
        <v>28</v>
      </c>
      <c r="B991" s="16" t="s">
        <v>27</v>
      </c>
      <c r="C991" t="s">
        <v>14</v>
      </c>
      <c r="D991" t="str">
        <f t="shared" si="19"/>
        <v>URANUS-Aquarius-Cancer</v>
      </c>
      <c r="E991" s="17" t="s">
        <v>106</v>
      </c>
      <c r="F991" s="18" t="s">
        <v>21</v>
      </c>
      <c r="G991" s="19" t="s">
        <v>27</v>
      </c>
      <c r="H991" s="20" t="s">
        <v>106</v>
      </c>
      <c r="I991" s="18" t="s">
        <v>21</v>
      </c>
      <c r="J991" t="s">
        <v>27</v>
      </c>
    </row>
    <row r="992" spans="1:10" x14ac:dyDescent="0.25">
      <c r="A992" t="s">
        <v>28</v>
      </c>
      <c r="B992" s="16" t="s">
        <v>27</v>
      </c>
      <c r="C992" t="s">
        <v>16</v>
      </c>
      <c r="D992" t="str">
        <f t="shared" si="19"/>
        <v>URANUS-Aquarius-Leo</v>
      </c>
      <c r="E992" s="17" t="s">
        <v>107</v>
      </c>
      <c r="F992" s="18" t="s">
        <v>10</v>
      </c>
      <c r="G992" s="19" t="s">
        <v>27</v>
      </c>
      <c r="H992" s="20" t="s">
        <v>107</v>
      </c>
      <c r="I992" s="18" t="s">
        <v>10</v>
      </c>
      <c r="J992" t="s">
        <v>27</v>
      </c>
    </row>
    <row r="993" spans="1:10" x14ac:dyDescent="0.25">
      <c r="A993" t="s">
        <v>28</v>
      </c>
      <c r="B993" s="16" t="s">
        <v>27</v>
      </c>
      <c r="C993" t="s">
        <v>18</v>
      </c>
      <c r="D993" t="str">
        <f t="shared" si="19"/>
        <v>URANUS-Aquarius-Virgo</v>
      </c>
      <c r="E993" s="17" t="s">
        <v>108</v>
      </c>
      <c r="F993" s="18" t="s">
        <v>18</v>
      </c>
      <c r="G993" s="19" t="s">
        <v>27</v>
      </c>
      <c r="H993" s="20" t="s">
        <v>108</v>
      </c>
      <c r="I993" s="18" t="s">
        <v>18</v>
      </c>
      <c r="J993" t="s">
        <v>27</v>
      </c>
    </row>
    <row r="994" spans="1:10" x14ac:dyDescent="0.25">
      <c r="A994" t="s">
        <v>28</v>
      </c>
      <c r="B994" s="16" t="s">
        <v>27</v>
      </c>
      <c r="C994" t="s">
        <v>10</v>
      </c>
      <c r="D994" t="str">
        <f t="shared" si="19"/>
        <v>URANUS-Aquarius-Libra</v>
      </c>
      <c r="E994" s="17" t="s">
        <v>109</v>
      </c>
      <c r="F994" s="18" t="s">
        <v>16</v>
      </c>
      <c r="G994" s="19" t="s">
        <v>27</v>
      </c>
      <c r="H994" s="20" t="s">
        <v>109</v>
      </c>
      <c r="I994" s="18" t="s">
        <v>16</v>
      </c>
      <c r="J994" t="s">
        <v>27</v>
      </c>
    </row>
    <row r="995" spans="1:10" x14ac:dyDescent="0.25">
      <c r="A995" t="s">
        <v>28</v>
      </c>
      <c r="B995" s="16" t="s">
        <v>27</v>
      </c>
      <c r="C995" t="s">
        <v>21</v>
      </c>
      <c r="D995" t="str">
        <f t="shared" si="19"/>
        <v>URANUS-Aquarius-Scorpio</v>
      </c>
      <c r="E995" s="17" t="s">
        <v>99</v>
      </c>
      <c r="F995" s="18" t="s">
        <v>14</v>
      </c>
      <c r="G995" s="19" t="s">
        <v>27</v>
      </c>
      <c r="H995" s="20" t="s">
        <v>99</v>
      </c>
      <c r="I995" s="18" t="s">
        <v>14</v>
      </c>
      <c r="J995" t="s">
        <v>27</v>
      </c>
    </row>
    <row r="996" spans="1:10" x14ac:dyDescent="0.25">
      <c r="A996" t="s">
        <v>28</v>
      </c>
      <c r="B996" s="16" t="s">
        <v>27</v>
      </c>
      <c r="C996" t="s">
        <v>23</v>
      </c>
      <c r="D996" t="str">
        <f t="shared" si="19"/>
        <v>URANUS-Aquarius-Sagittarius</v>
      </c>
      <c r="E996" s="17" t="s">
        <v>101</v>
      </c>
      <c r="F996" s="18" t="s">
        <v>12</v>
      </c>
      <c r="G996" s="19" t="s">
        <v>27</v>
      </c>
      <c r="H996" s="20" t="s">
        <v>101</v>
      </c>
      <c r="I996" s="18" t="s">
        <v>12</v>
      </c>
      <c r="J996" t="s">
        <v>27</v>
      </c>
    </row>
    <row r="997" spans="1:10" x14ac:dyDescent="0.25">
      <c r="A997" t="s">
        <v>28</v>
      </c>
      <c r="B997" s="16" t="s">
        <v>27</v>
      </c>
      <c r="C997" t="s">
        <v>25</v>
      </c>
      <c r="D997" t="str">
        <f t="shared" ref="D997:D1011" si="20">A997&amp;"-"&amp;B997&amp;"-"&amp;C997</f>
        <v>URANUS-Aquarius-Capricorn</v>
      </c>
      <c r="E997" s="17" t="s">
        <v>103</v>
      </c>
      <c r="F997" s="18" t="s">
        <v>9</v>
      </c>
      <c r="G997" s="19" t="s">
        <v>27</v>
      </c>
      <c r="H997" s="20" t="s">
        <v>103</v>
      </c>
      <c r="I997" s="18" t="s">
        <v>9</v>
      </c>
      <c r="J997" t="s">
        <v>27</v>
      </c>
    </row>
    <row r="998" spans="1:10" x14ac:dyDescent="0.25">
      <c r="A998" t="s">
        <v>28</v>
      </c>
      <c r="B998" s="16" t="s">
        <v>27</v>
      </c>
      <c r="C998" t="s">
        <v>27</v>
      </c>
      <c r="D998" t="str">
        <f t="shared" si="20"/>
        <v>URANUS-Aquarius-Aquarius</v>
      </c>
      <c r="E998" s="17" t="s">
        <v>98</v>
      </c>
      <c r="F998" s="18" t="s">
        <v>7</v>
      </c>
      <c r="G998" s="19" t="s">
        <v>27</v>
      </c>
      <c r="H998" s="20" t="s">
        <v>98</v>
      </c>
      <c r="I998" s="18" t="s">
        <v>7</v>
      </c>
      <c r="J998" t="s">
        <v>27</v>
      </c>
    </row>
    <row r="999" spans="1:10" x14ac:dyDescent="0.25">
      <c r="A999" t="s">
        <v>28</v>
      </c>
      <c r="B999" s="16" t="s">
        <v>27</v>
      </c>
      <c r="C999" t="s">
        <v>29</v>
      </c>
      <c r="D999" t="str">
        <f t="shared" si="20"/>
        <v>URANUS-Aquarius-Pisces</v>
      </c>
      <c r="E999" s="17" t="s">
        <v>100</v>
      </c>
      <c r="F999" s="18" t="s">
        <v>29</v>
      </c>
      <c r="G999" s="19" t="s">
        <v>27</v>
      </c>
      <c r="H999" s="20" t="s">
        <v>100</v>
      </c>
      <c r="I999" s="18" t="s">
        <v>29</v>
      </c>
      <c r="J999" t="s">
        <v>27</v>
      </c>
    </row>
    <row r="1000" spans="1:10" x14ac:dyDescent="0.25">
      <c r="A1000" t="s">
        <v>28</v>
      </c>
      <c r="B1000" s="16" t="s">
        <v>29</v>
      </c>
      <c r="C1000" t="s">
        <v>7</v>
      </c>
      <c r="D1000" t="str">
        <f t="shared" si="20"/>
        <v>URANUS-Pisces-Aries</v>
      </c>
      <c r="E1000" s="17" t="s">
        <v>100</v>
      </c>
      <c r="F1000" s="18" t="s">
        <v>29</v>
      </c>
      <c r="G1000" s="19" t="s">
        <v>29</v>
      </c>
      <c r="H1000" s="20" t="s">
        <v>102</v>
      </c>
      <c r="I1000" s="18" t="s">
        <v>27</v>
      </c>
      <c r="J1000" t="s">
        <v>27</v>
      </c>
    </row>
    <row r="1001" spans="1:10" x14ac:dyDescent="0.25">
      <c r="A1001" t="s">
        <v>28</v>
      </c>
      <c r="B1001" s="16" t="s">
        <v>29</v>
      </c>
      <c r="C1001" t="s">
        <v>9</v>
      </c>
      <c r="D1001" t="str">
        <f t="shared" si="20"/>
        <v>URANUS-Pisces-Taurus</v>
      </c>
      <c r="E1001" s="17" t="s">
        <v>102</v>
      </c>
      <c r="F1001" s="18" t="s">
        <v>27</v>
      </c>
      <c r="G1001" s="19" t="s">
        <v>29</v>
      </c>
      <c r="H1001" s="20" t="s">
        <v>104</v>
      </c>
      <c r="I1001" s="18" t="s">
        <v>25</v>
      </c>
      <c r="J1001" t="s">
        <v>27</v>
      </c>
    </row>
    <row r="1002" spans="1:10" x14ac:dyDescent="0.25">
      <c r="A1002" t="s">
        <v>28</v>
      </c>
      <c r="B1002" s="16" t="s">
        <v>29</v>
      </c>
      <c r="C1002" t="s">
        <v>12</v>
      </c>
      <c r="D1002" t="str">
        <f t="shared" si="20"/>
        <v>URANUS-Pisces-Gemini</v>
      </c>
      <c r="E1002" s="17" t="s">
        <v>104</v>
      </c>
      <c r="F1002" s="18" t="s">
        <v>25</v>
      </c>
      <c r="G1002" s="19" t="s">
        <v>29</v>
      </c>
      <c r="H1002" s="20" t="s">
        <v>105</v>
      </c>
      <c r="I1002" s="18" t="s">
        <v>23</v>
      </c>
      <c r="J1002" t="s">
        <v>27</v>
      </c>
    </row>
    <row r="1003" spans="1:10" x14ac:dyDescent="0.25">
      <c r="A1003" t="s">
        <v>28</v>
      </c>
      <c r="B1003" s="16" t="s">
        <v>29</v>
      </c>
      <c r="C1003" t="s">
        <v>14</v>
      </c>
      <c r="D1003" t="str">
        <f t="shared" si="20"/>
        <v>URANUS-Pisces-Cancer</v>
      </c>
      <c r="E1003" s="17" t="s">
        <v>105</v>
      </c>
      <c r="F1003" s="18" t="s">
        <v>23</v>
      </c>
      <c r="G1003" s="19" t="s">
        <v>29</v>
      </c>
      <c r="H1003" s="20" t="s">
        <v>106</v>
      </c>
      <c r="I1003" s="18" t="s">
        <v>21</v>
      </c>
      <c r="J1003" t="s">
        <v>27</v>
      </c>
    </row>
    <row r="1004" spans="1:10" x14ac:dyDescent="0.25">
      <c r="A1004" t="s">
        <v>28</v>
      </c>
      <c r="B1004" s="16" t="s">
        <v>29</v>
      </c>
      <c r="C1004" t="s">
        <v>16</v>
      </c>
      <c r="D1004" t="str">
        <f t="shared" si="20"/>
        <v>URANUS-Pisces-Leo</v>
      </c>
      <c r="E1004" s="17" t="s">
        <v>106</v>
      </c>
      <c r="F1004" s="18" t="s">
        <v>21</v>
      </c>
      <c r="G1004" s="19" t="s">
        <v>29</v>
      </c>
      <c r="H1004" s="20" t="s">
        <v>107</v>
      </c>
      <c r="I1004" s="18" t="s">
        <v>10</v>
      </c>
      <c r="J1004" t="s">
        <v>27</v>
      </c>
    </row>
    <row r="1005" spans="1:10" x14ac:dyDescent="0.25">
      <c r="A1005" t="s">
        <v>28</v>
      </c>
      <c r="B1005" s="16" t="s">
        <v>29</v>
      </c>
      <c r="C1005" t="s">
        <v>18</v>
      </c>
      <c r="D1005" t="str">
        <f t="shared" si="20"/>
        <v>URANUS-Pisces-Virgo</v>
      </c>
      <c r="E1005" s="17" t="s">
        <v>107</v>
      </c>
      <c r="F1005" s="18" t="s">
        <v>10</v>
      </c>
      <c r="G1005" s="19" t="s">
        <v>29</v>
      </c>
      <c r="H1005" s="20" t="s">
        <v>108</v>
      </c>
      <c r="I1005" s="18" t="s">
        <v>18</v>
      </c>
      <c r="J1005" t="s">
        <v>27</v>
      </c>
    </row>
    <row r="1006" spans="1:10" x14ac:dyDescent="0.25">
      <c r="A1006" t="s">
        <v>28</v>
      </c>
      <c r="B1006" s="16" t="s">
        <v>29</v>
      </c>
      <c r="C1006" t="s">
        <v>10</v>
      </c>
      <c r="D1006" t="str">
        <f t="shared" si="20"/>
        <v>URANUS-Pisces-Libra</v>
      </c>
      <c r="E1006" s="17" t="s">
        <v>108</v>
      </c>
      <c r="F1006" s="18" t="s">
        <v>18</v>
      </c>
      <c r="G1006" s="19" t="s">
        <v>29</v>
      </c>
      <c r="H1006" s="20" t="s">
        <v>109</v>
      </c>
      <c r="I1006" s="18" t="s">
        <v>16</v>
      </c>
      <c r="J1006" t="s">
        <v>27</v>
      </c>
    </row>
    <row r="1007" spans="1:10" x14ac:dyDescent="0.25">
      <c r="A1007" t="s">
        <v>28</v>
      </c>
      <c r="B1007" s="16" t="s">
        <v>29</v>
      </c>
      <c r="C1007" t="s">
        <v>21</v>
      </c>
      <c r="D1007" t="str">
        <f t="shared" si="20"/>
        <v>URANUS-Pisces-Scorpio</v>
      </c>
      <c r="E1007" s="17" t="s">
        <v>109</v>
      </c>
      <c r="F1007" s="18" t="s">
        <v>16</v>
      </c>
      <c r="G1007" s="19" t="s">
        <v>29</v>
      </c>
      <c r="H1007" s="20" t="s">
        <v>99</v>
      </c>
      <c r="I1007" s="18" t="s">
        <v>14</v>
      </c>
      <c r="J1007" t="s">
        <v>27</v>
      </c>
    </row>
    <row r="1008" spans="1:10" x14ac:dyDescent="0.25">
      <c r="A1008" t="s">
        <v>28</v>
      </c>
      <c r="B1008" s="16" t="s">
        <v>29</v>
      </c>
      <c r="C1008" t="s">
        <v>23</v>
      </c>
      <c r="D1008" t="str">
        <f t="shared" si="20"/>
        <v>URANUS-Pisces-Sagittarius</v>
      </c>
      <c r="E1008" s="17" t="s">
        <v>99</v>
      </c>
      <c r="F1008" s="18" t="s">
        <v>14</v>
      </c>
      <c r="G1008" s="19" t="s">
        <v>29</v>
      </c>
      <c r="H1008" s="20" t="s">
        <v>101</v>
      </c>
      <c r="I1008" s="18" t="s">
        <v>12</v>
      </c>
      <c r="J1008" t="s">
        <v>27</v>
      </c>
    </row>
    <row r="1009" spans="1:10" x14ac:dyDescent="0.25">
      <c r="A1009" t="s">
        <v>28</v>
      </c>
      <c r="B1009" s="16" t="s">
        <v>29</v>
      </c>
      <c r="C1009" t="s">
        <v>25</v>
      </c>
      <c r="D1009" t="str">
        <f t="shared" si="20"/>
        <v>URANUS-Pisces-Capricorn</v>
      </c>
      <c r="E1009" s="17" t="s">
        <v>101</v>
      </c>
      <c r="F1009" s="18" t="s">
        <v>12</v>
      </c>
      <c r="G1009" s="19" t="s">
        <v>29</v>
      </c>
      <c r="H1009" s="20" t="s">
        <v>103</v>
      </c>
      <c r="I1009" s="18" t="s">
        <v>9</v>
      </c>
      <c r="J1009" t="s">
        <v>27</v>
      </c>
    </row>
    <row r="1010" spans="1:10" x14ac:dyDescent="0.25">
      <c r="A1010" t="s">
        <v>28</v>
      </c>
      <c r="B1010" s="16" t="s">
        <v>29</v>
      </c>
      <c r="C1010" t="s">
        <v>27</v>
      </c>
      <c r="D1010" t="str">
        <f t="shared" si="20"/>
        <v>URANUS-Pisces-Aquarius</v>
      </c>
      <c r="E1010" s="17" t="s">
        <v>103</v>
      </c>
      <c r="F1010" s="18" t="s">
        <v>9</v>
      </c>
      <c r="G1010" s="19" t="s">
        <v>29</v>
      </c>
      <c r="H1010" s="20" t="s">
        <v>98</v>
      </c>
      <c r="I1010" s="18" t="s">
        <v>7</v>
      </c>
      <c r="J1010" t="s">
        <v>27</v>
      </c>
    </row>
    <row r="1011" spans="1:10" x14ac:dyDescent="0.25">
      <c r="A1011" t="s">
        <v>28</v>
      </c>
      <c r="B1011" s="16" t="s">
        <v>29</v>
      </c>
      <c r="C1011" t="s">
        <v>29</v>
      </c>
      <c r="D1011" t="str">
        <f t="shared" si="20"/>
        <v>URANUS-Pisces-Pisces</v>
      </c>
      <c r="E1011" s="17" t="s">
        <v>98</v>
      </c>
      <c r="F1011" s="18" t="s">
        <v>7</v>
      </c>
      <c r="G1011" s="19" t="s">
        <v>29</v>
      </c>
      <c r="H1011" s="20" t="s">
        <v>100</v>
      </c>
      <c r="I1011" s="18" t="s">
        <v>29</v>
      </c>
      <c r="J1011" t="s">
        <v>27</v>
      </c>
    </row>
    <row r="1012" spans="1:10" x14ac:dyDescent="0.25">
      <c r="A1012" t="s">
        <v>30</v>
      </c>
      <c r="B1012" s="16" t="s">
        <v>7</v>
      </c>
      <c r="C1012" t="s">
        <v>7</v>
      </c>
      <c r="D1012" t="str">
        <f>A1012&amp;"-"&amp;B1012&amp;"-"&amp;C1012</f>
        <v>NEPTUNE-Aries-Aries</v>
      </c>
      <c r="E1012" s="17" t="s">
        <v>98</v>
      </c>
      <c r="F1012" s="18" t="s">
        <v>7</v>
      </c>
      <c r="G1012" s="19" t="s">
        <v>7</v>
      </c>
      <c r="H1012" s="20" t="s">
        <v>100</v>
      </c>
      <c r="I1012" s="18" t="s">
        <v>29</v>
      </c>
      <c r="J1012" t="s">
        <v>29</v>
      </c>
    </row>
    <row r="1013" spans="1:10" x14ac:dyDescent="0.25">
      <c r="A1013" t="s">
        <v>30</v>
      </c>
      <c r="B1013" s="16" t="s">
        <v>7</v>
      </c>
      <c r="C1013" t="s">
        <v>9</v>
      </c>
      <c r="D1013" t="str">
        <f t="shared" ref="D1013:D1076" si="21">A1013&amp;"-"&amp;B1013&amp;"-"&amp;C1013</f>
        <v>NEPTUNE-Aries-Taurus</v>
      </c>
      <c r="E1013" s="17" t="s">
        <v>100</v>
      </c>
      <c r="F1013" s="18" t="s">
        <v>29</v>
      </c>
      <c r="G1013" s="19" t="s">
        <v>7</v>
      </c>
      <c r="H1013" s="20" t="s">
        <v>102</v>
      </c>
      <c r="I1013" s="18" t="s">
        <v>27</v>
      </c>
      <c r="J1013" t="s">
        <v>29</v>
      </c>
    </row>
    <row r="1014" spans="1:10" x14ac:dyDescent="0.25">
      <c r="A1014" t="s">
        <v>30</v>
      </c>
      <c r="B1014" s="16" t="s">
        <v>7</v>
      </c>
      <c r="C1014" t="s">
        <v>12</v>
      </c>
      <c r="D1014" t="str">
        <f t="shared" si="21"/>
        <v>NEPTUNE-Aries-Gemini</v>
      </c>
      <c r="E1014" s="17" t="s">
        <v>102</v>
      </c>
      <c r="F1014" s="18" t="s">
        <v>27</v>
      </c>
      <c r="G1014" s="19" t="s">
        <v>7</v>
      </c>
      <c r="H1014" s="20" t="s">
        <v>104</v>
      </c>
      <c r="I1014" s="18" t="s">
        <v>25</v>
      </c>
      <c r="J1014" t="s">
        <v>29</v>
      </c>
    </row>
    <row r="1015" spans="1:10" x14ac:dyDescent="0.25">
      <c r="A1015" t="s">
        <v>30</v>
      </c>
      <c r="B1015" s="16" t="s">
        <v>7</v>
      </c>
      <c r="C1015" t="s">
        <v>14</v>
      </c>
      <c r="D1015" t="str">
        <f t="shared" si="21"/>
        <v>NEPTUNE-Aries-Cancer</v>
      </c>
      <c r="E1015" s="17" t="s">
        <v>104</v>
      </c>
      <c r="F1015" s="18" t="s">
        <v>25</v>
      </c>
      <c r="G1015" s="19" t="s">
        <v>7</v>
      </c>
      <c r="H1015" s="20" t="s">
        <v>105</v>
      </c>
      <c r="I1015" s="18" t="s">
        <v>23</v>
      </c>
      <c r="J1015" t="s">
        <v>29</v>
      </c>
    </row>
    <row r="1016" spans="1:10" x14ac:dyDescent="0.25">
      <c r="A1016" t="s">
        <v>30</v>
      </c>
      <c r="B1016" s="16" t="s">
        <v>7</v>
      </c>
      <c r="C1016" t="s">
        <v>16</v>
      </c>
      <c r="D1016" t="str">
        <f t="shared" si="21"/>
        <v>NEPTUNE-Aries-Leo</v>
      </c>
      <c r="E1016" s="17" t="s">
        <v>105</v>
      </c>
      <c r="F1016" s="18" t="s">
        <v>23</v>
      </c>
      <c r="G1016" s="19" t="s">
        <v>7</v>
      </c>
      <c r="H1016" s="20" t="s">
        <v>106</v>
      </c>
      <c r="I1016" s="18" t="s">
        <v>21</v>
      </c>
      <c r="J1016" t="s">
        <v>29</v>
      </c>
    </row>
    <row r="1017" spans="1:10" x14ac:dyDescent="0.25">
      <c r="A1017" t="s">
        <v>30</v>
      </c>
      <c r="B1017" s="16" t="s">
        <v>7</v>
      </c>
      <c r="C1017" t="s">
        <v>18</v>
      </c>
      <c r="D1017" t="str">
        <f t="shared" si="21"/>
        <v>NEPTUNE-Aries-Virgo</v>
      </c>
      <c r="E1017" s="17" t="s">
        <v>106</v>
      </c>
      <c r="F1017" s="18" t="s">
        <v>21</v>
      </c>
      <c r="G1017" s="19" t="s">
        <v>7</v>
      </c>
      <c r="H1017" s="20" t="s">
        <v>107</v>
      </c>
      <c r="I1017" s="18" t="s">
        <v>10</v>
      </c>
      <c r="J1017" t="s">
        <v>29</v>
      </c>
    </row>
    <row r="1018" spans="1:10" x14ac:dyDescent="0.25">
      <c r="A1018" t="s">
        <v>30</v>
      </c>
      <c r="B1018" s="16" t="s">
        <v>7</v>
      </c>
      <c r="C1018" t="s">
        <v>10</v>
      </c>
      <c r="D1018" t="str">
        <f t="shared" si="21"/>
        <v>NEPTUNE-Aries-Libra</v>
      </c>
      <c r="E1018" s="17" t="s">
        <v>107</v>
      </c>
      <c r="F1018" s="18" t="s">
        <v>10</v>
      </c>
      <c r="G1018" s="19" t="s">
        <v>7</v>
      </c>
      <c r="H1018" s="20" t="s">
        <v>108</v>
      </c>
      <c r="I1018" s="18" t="s">
        <v>18</v>
      </c>
      <c r="J1018" t="s">
        <v>29</v>
      </c>
    </row>
    <row r="1019" spans="1:10" x14ac:dyDescent="0.25">
      <c r="A1019" t="s">
        <v>30</v>
      </c>
      <c r="B1019" s="16" t="s">
        <v>7</v>
      </c>
      <c r="C1019" t="s">
        <v>21</v>
      </c>
      <c r="D1019" t="str">
        <f t="shared" si="21"/>
        <v>NEPTUNE-Aries-Scorpio</v>
      </c>
      <c r="E1019" s="17" t="s">
        <v>108</v>
      </c>
      <c r="F1019" s="18" t="s">
        <v>18</v>
      </c>
      <c r="G1019" s="19" t="s">
        <v>7</v>
      </c>
      <c r="H1019" s="20" t="s">
        <v>109</v>
      </c>
      <c r="I1019" s="18" t="s">
        <v>16</v>
      </c>
      <c r="J1019" t="s">
        <v>29</v>
      </c>
    </row>
    <row r="1020" spans="1:10" x14ac:dyDescent="0.25">
      <c r="A1020" t="s">
        <v>30</v>
      </c>
      <c r="B1020" s="16" t="s">
        <v>7</v>
      </c>
      <c r="C1020" t="s">
        <v>23</v>
      </c>
      <c r="D1020" t="str">
        <f t="shared" si="21"/>
        <v>NEPTUNE-Aries-Sagittarius</v>
      </c>
      <c r="E1020" s="17" t="s">
        <v>109</v>
      </c>
      <c r="F1020" s="18" t="s">
        <v>16</v>
      </c>
      <c r="G1020" s="19" t="s">
        <v>7</v>
      </c>
      <c r="H1020" s="20" t="s">
        <v>99</v>
      </c>
      <c r="I1020" s="18" t="s">
        <v>14</v>
      </c>
      <c r="J1020" t="s">
        <v>29</v>
      </c>
    </row>
    <row r="1021" spans="1:10" x14ac:dyDescent="0.25">
      <c r="A1021" t="s">
        <v>30</v>
      </c>
      <c r="B1021" s="16" t="s">
        <v>7</v>
      </c>
      <c r="C1021" t="s">
        <v>25</v>
      </c>
      <c r="D1021" t="str">
        <f t="shared" si="21"/>
        <v>NEPTUNE-Aries-Capricorn</v>
      </c>
      <c r="E1021" s="17" t="s">
        <v>99</v>
      </c>
      <c r="F1021" s="18" t="s">
        <v>14</v>
      </c>
      <c r="G1021" s="19" t="s">
        <v>7</v>
      </c>
      <c r="H1021" s="20" t="s">
        <v>101</v>
      </c>
      <c r="I1021" s="18" t="s">
        <v>12</v>
      </c>
      <c r="J1021" t="s">
        <v>29</v>
      </c>
    </row>
    <row r="1022" spans="1:10" x14ac:dyDescent="0.25">
      <c r="A1022" t="s">
        <v>30</v>
      </c>
      <c r="B1022" s="16" t="s">
        <v>7</v>
      </c>
      <c r="C1022" t="s">
        <v>27</v>
      </c>
      <c r="D1022" t="str">
        <f t="shared" si="21"/>
        <v>NEPTUNE-Aries-Aquarius</v>
      </c>
      <c r="E1022" s="17" t="s">
        <v>101</v>
      </c>
      <c r="F1022" s="18" t="s">
        <v>12</v>
      </c>
      <c r="G1022" s="19" t="s">
        <v>7</v>
      </c>
      <c r="H1022" s="20" t="s">
        <v>103</v>
      </c>
      <c r="I1022" s="18" t="s">
        <v>9</v>
      </c>
      <c r="J1022" t="s">
        <v>29</v>
      </c>
    </row>
    <row r="1023" spans="1:10" x14ac:dyDescent="0.25">
      <c r="A1023" t="s">
        <v>30</v>
      </c>
      <c r="B1023" s="16" t="s">
        <v>7</v>
      </c>
      <c r="C1023" t="s">
        <v>29</v>
      </c>
      <c r="D1023" t="str">
        <f t="shared" si="21"/>
        <v>NEPTUNE-Aries-Pisces</v>
      </c>
      <c r="E1023" s="17" t="s">
        <v>103</v>
      </c>
      <c r="F1023" s="18" t="s">
        <v>9</v>
      </c>
      <c r="G1023" s="19" t="s">
        <v>7</v>
      </c>
      <c r="H1023" s="20" t="s">
        <v>98</v>
      </c>
      <c r="I1023" s="18" t="s">
        <v>7</v>
      </c>
      <c r="J1023" t="s">
        <v>29</v>
      </c>
    </row>
    <row r="1024" spans="1:10" x14ac:dyDescent="0.25">
      <c r="A1024" t="s">
        <v>30</v>
      </c>
      <c r="B1024" s="16" t="s">
        <v>9</v>
      </c>
      <c r="C1024" t="s">
        <v>7</v>
      </c>
      <c r="D1024" t="str">
        <f t="shared" si="21"/>
        <v>NEPTUNE-Taurus-Aries</v>
      </c>
      <c r="E1024" s="17" t="s">
        <v>103</v>
      </c>
      <c r="F1024" s="18" t="s">
        <v>9</v>
      </c>
      <c r="G1024" s="19" t="s">
        <v>9</v>
      </c>
      <c r="H1024" s="20" t="s">
        <v>100</v>
      </c>
      <c r="I1024" s="18" t="s">
        <v>29</v>
      </c>
      <c r="J1024" t="s">
        <v>29</v>
      </c>
    </row>
    <row r="1025" spans="1:10" x14ac:dyDescent="0.25">
      <c r="A1025" t="s">
        <v>30</v>
      </c>
      <c r="B1025" s="16" t="s">
        <v>9</v>
      </c>
      <c r="C1025" t="s">
        <v>9</v>
      </c>
      <c r="D1025" t="str">
        <f t="shared" si="21"/>
        <v>NEPTUNE-Taurus-Taurus</v>
      </c>
      <c r="E1025" s="17" t="s">
        <v>98</v>
      </c>
      <c r="F1025" s="18" t="s">
        <v>7</v>
      </c>
      <c r="G1025" s="19" t="s">
        <v>9</v>
      </c>
      <c r="H1025" s="20" t="s">
        <v>102</v>
      </c>
      <c r="I1025" s="18" t="s">
        <v>27</v>
      </c>
      <c r="J1025" t="s">
        <v>29</v>
      </c>
    </row>
    <row r="1026" spans="1:10" x14ac:dyDescent="0.25">
      <c r="A1026" t="s">
        <v>30</v>
      </c>
      <c r="B1026" s="16" t="s">
        <v>9</v>
      </c>
      <c r="C1026" t="s">
        <v>12</v>
      </c>
      <c r="D1026" t="str">
        <f t="shared" si="21"/>
        <v>NEPTUNE-Taurus-Gemini</v>
      </c>
      <c r="E1026" s="17" t="s">
        <v>100</v>
      </c>
      <c r="F1026" s="18" t="s">
        <v>29</v>
      </c>
      <c r="G1026" s="19" t="s">
        <v>9</v>
      </c>
      <c r="H1026" s="20" t="s">
        <v>104</v>
      </c>
      <c r="I1026" s="18" t="s">
        <v>25</v>
      </c>
      <c r="J1026" t="s">
        <v>29</v>
      </c>
    </row>
    <row r="1027" spans="1:10" x14ac:dyDescent="0.25">
      <c r="A1027" t="s">
        <v>30</v>
      </c>
      <c r="B1027" s="16" t="s">
        <v>9</v>
      </c>
      <c r="C1027" t="s">
        <v>14</v>
      </c>
      <c r="D1027" t="str">
        <f t="shared" si="21"/>
        <v>NEPTUNE-Taurus-Cancer</v>
      </c>
      <c r="E1027" s="17" t="s">
        <v>102</v>
      </c>
      <c r="F1027" s="18" t="s">
        <v>27</v>
      </c>
      <c r="G1027" s="19" t="s">
        <v>9</v>
      </c>
      <c r="H1027" s="20" t="s">
        <v>105</v>
      </c>
      <c r="I1027" s="18" t="s">
        <v>23</v>
      </c>
      <c r="J1027" t="s">
        <v>29</v>
      </c>
    </row>
    <row r="1028" spans="1:10" x14ac:dyDescent="0.25">
      <c r="A1028" t="s">
        <v>30</v>
      </c>
      <c r="B1028" s="16" t="s">
        <v>9</v>
      </c>
      <c r="C1028" t="s">
        <v>16</v>
      </c>
      <c r="D1028" t="str">
        <f t="shared" si="21"/>
        <v>NEPTUNE-Taurus-Leo</v>
      </c>
      <c r="E1028" s="17" t="s">
        <v>104</v>
      </c>
      <c r="F1028" s="18" t="s">
        <v>25</v>
      </c>
      <c r="G1028" s="19" t="s">
        <v>9</v>
      </c>
      <c r="H1028" s="20" t="s">
        <v>106</v>
      </c>
      <c r="I1028" s="18" t="s">
        <v>21</v>
      </c>
      <c r="J1028" t="s">
        <v>29</v>
      </c>
    </row>
    <row r="1029" spans="1:10" x14ac:dyDescent="0.25">
      <c r="A1029" t="s">
        <v>30</v>
      </c>
      <c r="B1029" s="16" t="s">
        <v>9</v>
      </c>
      <c r="C1029" t="s">
        <v>18</v>
      </c>
      <c r="D1029" t="str">
        <f t="shared" si="21"/>
        <v>NEPTUNE-Taurus-Virgo</v>
      </c>
      <c r="E1029" s="17" t="s">
        <v>105</v>
      </c>
      <c r="F1029" s="18" t="s">
        <v>23</v>
      </c>
      <c r="G1029" s="19" t="s">
        <v>9</v>
      </c>
      <c r="H1029" s="20" t="s">
        <v>107</v>
      </c>
      <c r="I1029" s="18" t="s">
        <v>10</v>
      </c>
      <c r="J1029" t="s">
        <v>29</v>
      </c>
    </row>
    <row r="1030" spans="1:10" x14ac:dyDescent="0.25">
      <c r="A1030" t="s">
        <v>30</v>
      </c>
      <c r="B1030" s="16" t="s">
        <v>9</v>
      </c>
      <c r="C1030" t="s">
        <v>10</v>
      </c>
      <c r="D1030" t="str">
        <f t="shared" si="21"/>
        <v>NEPTUNE-Taurus-Libra</v>
      </c>
      <c r="E1030" s="17" t="s">
        <v>106</v>
      </c>
      <c r="F1030" s="18" t="s">
        <v>21</v>
      </c>
      <c r="G1030" s="19" t="s">
        <v>9</v>
      </c>
      <c r="H1030" s="20" t="s">
        <v>108</v>
      </c>
      <c r="I1030" s="18" t="s">
        <v>18</v>
      </c>
      <c r="J1030" t="s">
        <v>29</v>
      </c>
    </row>
    <row r="1031" spans="1:10" x14ac:dyDescent="0.25">
      <c r="A1031" t="s">
        <v>30</v>
      </c>
      <c r="B1031" s="16" t="s">
        <v>9</v>
      </c>
      <c r="C1031" t="s">
        <v>21</v>
      </c>
      <c r="D1031" t="str">
        <f t="shared" si="21"/>
        <v>NEPTUNE-Taurus-Scorpio</v>
      </c>
      <c r="E1031" s="17" t="s">
        <v>107</v>
      </c>
      <c r="F1031" s="18" t="s">
        <v>10</v>
      </c>
      <c r="G1031" s="19" t="s">
        <v>9</v>
      </c>
      <c r="H1031" s="20" t="s">
        <v>109</v>
      </c>
      <c r="I1031" s="18" t="s">
        <v>16</v>
      </c>
      <c r="J1031" t="s">
        <v>29</v>
      </c>
    </row>
    <row r="1032" spans="1:10" x14ac:dyDescent="0.25">
      <c r="A1032" t="s">
        <v>30</v>
      </c>
      <c r="B1032" s="16" t="s">
        <v>9</v>
      </c>
      <c r="C1032" t="s">
        <v>23</v>
      </c>
      <c r="D1032" t="str">
        <f t="shared" si="21"/>
        <v>NEPTUNE-Taurus-Sagittarius</v>
      </c>
      <c r="E1032" s="17" t="s">
        <v>108</v>
      </c>
      <c r="F1032" s="18" t="s">
        <v>18</v>
      </c>
      <c r="G1032" s="19" t="s">
        <v>9</v>
      </c>
      <c r="H1032" s="20" t="s">
        <v>99</v>
      </c>
      <c r="I1032" s="18" t="s">
        <v>14</v>
      </c>
      <c r="J1032" t="s">
        <v>29</v>
      </c>
    </row>
    <row r="1033" spans="1:10" x14ac:dyDescent="0.25">
      <c r="A1033" t="s">
        <v>30</v>
      </c>
      <c r="B1033" s="16" t="s">
        <v>9</v>
      </c>
      <c r="C1033" t="s">
        <v>25</v>
      </c>
      <c r="D1033" t="str">
        <f t="shared" si="21"/>
        <v>NEPTUNE-Taurus-Capricorn</v>
      </c>
      <c r="E1033" s="17" t="s">
        <v>109</v>
      </c>
      <c r="F1033" s="18" t="s">
        <v>16</v>
      </c>
      <c r="G1033" s="19" t="s">
        <v>9</v>
      </c>
      <c r="H1033" s="20" t="s">
        <v>101</v>
      </c>
      <c r="I1033" s="18" t="s">
        <v>12</v>
      </c>
      <c r="J1033" t="s">
        <v>29</v>
      </c>
    </row>
    <row r="1034" spans="1:10" x14ac:dyDescent="0.25">
      <c r="A1034" t="s">
        <v>30</v>
      </c>
      <c r="B1034" s="16" t="s">
        <v>9</v>
      </c>
      <c r="C1034" t="s">
        <v>27</v>
      </c>
      <c r="D1034" t="str">
        <f t="shared" si="21"/>
        <v>NEPTUNE-Taurus-Aquarius</v>
      </c>
      <c r="E1034" s="17" t="s">
        <v>99</v>
      </c>
      <c r="F1034" s="18" t="s">
        <v>14</v>
      </c>
      <c r="G1034" s="19" t="s">
        <v>9</v>
      </c>
      <c r="H1034" s="20" t="s">
        <v>103</v>
      </c>
      <c r="I1034" s="18" t="s">
        <v>9</v>
      </c>
      <c r="J1034" t="s">
        <v>29</v>
      </c>
    </row>
    <row r="1035" spans="1:10" x14ac:dyDescent="0.25">
      <c r="A1035" t="s">
        <v>30</v>
      </c>
      <c r="B1035" s="16" t="s">
        <v>9</v>
      </c>
      <c r="C1035" t="s">
        <v>29</v>
      </c>
      <c r="D1035" t="str">
        <f t="shared" si="21"/>
        <v>NEPTUNE-Taurus-Pisces</v>
      </c>
      <c r="E1035" s="17" t="s">
        <v>101</v>
      </c>
      <c r="F1035" s="18" t="s">
        <v>12</v>
      </c>
      <c r="G1035" s="19" t="s">
        <v>9</v>
      </c>
      <c r="H1035" s="20" t="s">
        <v>98</v>
      </c>
      <c r="I1035" s="18" t="s">
        <v>7</v>
      </c>
      <c r="J1035" t="s">
        <v>29</v>
      </c>
    </row>
    <row r="1036" spans="1:10" x14ac:dyDescent="0.25">
      <c r="A1036" t="s">
        <v>30</v>
      </c>
      <c r="B1036" s="16" t="s">
        <v>12</v>
      </c>
      <c r="C1036" t="s">
        <v>7</v>
      </c>
      <c r="D1036" t="str">
        <f t="shared" si="21"/>
        <v>NEPTUNE-Gemini-Aries</v>
      </c>
      <c r="E1036" s="17" t="s">
        <v>101</v>
      </c>
      <c r="F1036" s="18" t="s">
        <v>12</v>
      </c>
      <c r="G1036" s="19" t="s">
        <v>12</v>
      </c>
      <c r="H1036" s="20" t="s">
        <v>100</v>
      </c>
      <c r="I1036" s="18" t="s">
        <v>29</v>
      </c>
      <c r="J1036" t="s">
        <v>29</v>
      </c>
    </row>
    <row r="1037" spans="1:10" x14ac:dyDescent="0.25">
      <c r="A1037" t="s">
        <v>30</v>
      </c>
      <c r="B1037" s="16" t="s">
        <v>12</v>
      </c>
      <c r="C1037" t="s">
        <v>9</v>
      </c>
      <c r="D1037" t="str">
        <f t="shared" si="21"/>
        <v>NEPTUNE-Gemini-Taurus</v>
      </c>
      <c r="E1037" s="17" t="s">
        <v>103</v>
      </c>
      <c r="F1037" s="18" t="s">
        <v>9</v>
      </c>
      <c r="G1037" s="19" t="s">
        <v>12</v>
      </c>
      <c r="H1037" s="20" t="s">
        <v>102</v>
      </c>
      <c r="I1037" s="18" t="s">
        <v>27</v>
      </c>
      <c r="J1037" t="s">
        <v>29</v>
      </c>
    </row>
    <row r="1038" spans="1:10" x14ac:dyDescent="0.25">
      <c r="A1038" t="s">
        <v>30</v>
      </c>
      <c r="B1038" s="16" t="s">
        <v>12</v>
      </c>
      <c r="C1038" t="s">
        <v>12</v>
      </c>
      <c r="D1038" t="str">
        <f t="shared" si="21"/>
        <v>NEPTUNE-Gemini-Gemini</v>
      </c>
      <c r="E1038" s="17" t="s">
        <v>98</v>
      </c>
      <c r="F1038" s="18" t="s">
        <v>7</v>
      </c>
      <c r="G1038" s="19" t="s">
        <v>12</v>
      </c>
      <c r="H1038" s="20" t="s">
        <v>104</v>
      </c>
      <c r="I1038" s="18" t="s">
        <v>25</v>
      </c>
      <c r="J1038" t="s">
        <v>29</v>
      </c>
    </row>
    <row r="1039" spans="1:10" x14ac:dyDescent="0.25">
      <c r="A1039" t="s">
        <v>30</v>
      </c>
      <c r="B1039" s="16" t="s">
        <v>12</v>
      </c>
      <c r="C1039" t="s">
        <v>14</v>
      </c>
      <c r="D1039" t="str">
        <f t="shared" si="21"/>
        <v>NEPTUNE-Gemini-Cancer</v>
      </c>
      <c r="E1039" s="17" t="s">
        <v>100</v>
      </c>
      <c r="F1039" s="18" t="s">
        <v>29</v>
      </c>
      <c r="G1039" s="19" t="s">
        <v>12</v>
      </c>
      <c r="H1039" s="20" t="s">
        <v>105</v>
      </c>
      <c r="I1039" s="18" t="s">
        <v>23</v>
      </c>
      <c r="J1039" t="s">
        <v>29</v>
      </c>
    </row>
    <row r="1040" spans="1:10" x14ac:dyDescent="0.25">
      <c r="A1040" t="s">
        <v>30</v>
      </c>
      <c r="B1040" s="16" t="s">
        <v>12</v>
      </c>
      <c r="C1040" t="s">
        <v>16</v>
      </c>
      <c r="D1040" t="str">
        <f t="shared" si="21"/>
        <v>NEPTUNE-Gemini-Leo</v>
      </c>
      <c r="E1040" s="17" t="s">
        <v>102</v>
      </c>
      <c r="F1040" s="18" t="s">
        <v>27</v>
      </c>
      <c r="G1040" s="19" t="s">
        <v>12</v>
      </c>
      <c r="H1040" s="20" t="s">
        <v>106</v>
      </c>
      <c r="I1040" s="18" t="s">
        <v>21</v>
      </c>
      <c r="J1040" t="s">
        <v>29</v>
      </c>
    </row>
    <row r="1041" spans="1:10" x14ac:dyDescent="0.25">
      <c r="A1041" t="s">
        <v>30</v>
      </c>
      <c r="B1041" s="16" t="s">
        <v>12</v>
      </c>
      <c r="C1041" t="s">
        <v>18</v>
      </c>
      <c r="D1041" t="str">
        <f t="shared" si="21"/>
        <v>NEPTUNE-Gemini-Virgo</v>
      </c>
      <c r="E1041" s="17" t="s">
        <v>104</v>
      </c>
      <c r="F1041" s="18" t="s">
        <v>25</v>
      </c>
      <c r="G1041" s="19" t="s">
        <v>12</v>
      </c>
      <c r="H1041" s="20" t="s">
        <v>107</v>
      </c>
      <c r="I1041" s="18" t="s">
        <v>10</v>
      </c>
      <c r="J1041" t="s">
        <v>29</v>
      </c>
    </row>
    <row r="1042" spans="1:10" x14ac:dyDescent="0.25">
      <c r="A1042" t="s">
        <v>30</v>
      </c>
      <c r="B1042" s="16" t="s">
        <v>12</v>
      </c>
      <c r="C1042" t="s">
        <v>10</v>
      </c>
      <c r="D1042" t="str">
        <f t="shared" si="21"/>
        <v>NEPTUNE-Gemini-Libra</v>
      </c>
      <c r="E1042" s="17" t="s">
        <v>105</v>
      </c>
      <c r="F1042" s="18" t="s">
        <v>23</v>
      </c>
      <c r="G1042" s="19" t="s">
        <v>12</v>
      </c>
      <c r="H1042" s="20" t="s">
        <v>108</v>
      </c>
      <c r="I1042" s="18" t="s">
        <v>18</v>
      </c>
      <c r="J1042" t="s">
        <v>29</v>
      </c>
    </row>
    <row r="1043" spans="1:10" x14ac:dyDescent="0.25">
      <c r="A1043" t="s">
        <v>30</v>
      </c>
      <c r="B1043" s="16" t="s">
        <v>12</v>
      </c>
      <c r="C1043" t="s">
        <v>21</v>
      </c>
      <c r="D1043" t="str">
        <f t="shared" si="21"/>
        <v>NEPTUNE-Gemini-Scorpio</v>
      </c>
      <c r="E1043" s="17" t="s">
        <v>106</v>
      </c>
      <c r="F1043" s="18" t="s">
        <v>21</v>
      </c>
      <c r="G1043" s="19" t="s">
        <v>12</v>
      </c>
      <c r="H1043" s="20" t="s">
        <v>109</v>
      </c>
      <c r="I1043" s="18" t="s">
        <v>16</v>
      </c>
      <c r="J1043" t="s">
        <v>29</v>
      </c>
    </row>
    <row r="1044" spans="1:10" x14ac:dyDescent="0.25">
      <c r="A1044" t="s">
        <v>30</v>
      </c>
      <c r="B1044" s="16" t="s">
        <v>12</v>
      </c>
      <c r="C1044" t="s">
        <v>23</v>
      </c>
      <c r="D1044" t="str">
        <f t="shared" si="21"/>
        <v>NEPTUNE-Gemini-Sagittarius</v>
      </c>
      <c r="E1044" s="17" t="s">
        <v>107</v>
      </c>
      <c r="F1044" s="18" t="s">
        <v>10</v>
      </c>
      <c r="G1044" s="19" t="s">
        <v>12</v>
      </c>
      <c r="H1044" s="20" t="s">
        <v>99</v>
      </c>
      <c r="I1044" s="18" t="s">
        <v>14</v>
      </c>
      <c r="J1044" t="s">
        <v>29</v>
      </c>
    </row>
    <row r="1045" spans="1:10" x14ac:dyDescent="0.25">
      <c r="A1045" t="s">
        <v>30</v>
      </c>
      <c r="B1045" s="16" t="s">
        <v>12</v>
      </c>
      <c r="C1045" t="s">
        <v>25</v>
      </c>
      <c r="D1045" t="str">
        <f t="shared" si="21"/>
        <v>NEPTUNE-Gemini-Capricorn</v>
      </c>
      <c r="E1045" s="17" t="s">
        <v>108</v>
      </c>
      <c r="F1045" s="18" t="s">
        <v>18</v>
      </c>
      <c r="G1045" s="19" t="s">
        <v>12</v>
      </c>
      <c r="H1045" s="20" t="s">
        <v>101</v>
      </c>
      <c r="I1045" s="18" t="s">
        <v>12</v>
      </c>
      <c r="J1045" t="s">
        <v>29</v>
      </c>
    </row>
    <row r="1046" spans="1:10" x14ac:dyDescent="0.25">
      <c r="A1046" t="s">
        <v>30</v>
      </c>
      <c r="B1046" s="16" t="s">
        <v>12</v>
      </c>
      <c r="C1046" t="s">
        <v>27</v>
      </c>
      <c r="D1046" t="str">
        <f t="shared" si="21"/>
        <v>NEPTUNE-Gemini-Aquarius</v>
      </c>
      <c r="E1046" s="17" t="s">
        <v>109</v>
      </c>
      <c r="F1046" s="18" t="s">
        <v>16</v>
      </c>
      <c r="G1046" s="19" t="s">
        <v>12</v>
      </c>
      <c r="H1046" s="20" t="s">
        <v>103</v>
      </c>
      <c r="I1046" s="18" t="s">
        <v>9</v>
      </c>
      <c r="J1046" t="s">
        <v>29</v>
      </c>
    </row>
    <row r="1047" spans="1:10" x14ac:dyDescent="0.25">
      <c r="A1047" t="s">
        <v>30</v>
      </c>
      <c r="B1047" s="16" t="s">
        <v>12</v>
      </c>
      <c r="C1047" t="s">
        <v>29</v>
      </c>
      <c r="D1047" t="str">
        <f t="shared" si="21"/>
        <v>NEPTUNE-Gemini-Pisces</v>
      </c>
      <c r="E1047" s="17" t="s">
        <v>99</v>
      </c>
      <c r="F1047" s="18" t="s">
        <v>14</v>
      </c>
      <c r="G1047" s="19" t="s">
        <v>12</v>
      </c>
      <c r="H1047" s="20" t="s">
        <v>98</v>
      </c>
      <c r="I1047" s="18" t="s">
        <v>7</v>
      </c>
      <c r="J1047" t="s">
        <v>29</v>
      </c>
    </row>
    <row r="1048" spans="1:10" x14ac:dyDescent="0.25">
      <c r="A1048" t="s">
        <v>30</v>
      </c>
      <c r="B1048" s="16" t="s">
        <v>14</v>
      </c>
      <c r="C1048" t="s">
        <v>7</v>
      </c>
      <c r="D1048" t="str">
        <f t="shared" si="21"/>
        <v>NEPTUNE-Cancer-Aries</v>
      </c>
      <c r="E1048" s="17" t="s">
        <v>99</v>
      </c>
      <c r="F1048" s="18" t="s">
        <v>14</v>
      </c>
      <c r="G1048" s="19" t="s">
        <v>14</v>
      </c>
      <c r="H1048" s="20" t="s">
        <v>100</v>
      </c>
      <c r="I1048" s="18" t="s">
        <v>29</v>
      </c>
      <c r="J1048" t="s">
        <v>29</v>
      </c>
    </row>
    <row r="1049" spans="1:10" x14ac:dyDescent="0.25">
      <c r="A1049" t="s">
        <v>30</v>
      </c>
      <c r="B1049" s="16" t="s">
        <v>14</v>
      </c>
      <c r="C1049" t="s">
        <v>9</v>
      </c>
      <c r="D1049" t="str">
        <f t="shared" si="21"/>
        <v>NEPTUNE-Cancer-Taurus</v>
      </c>
      <c r="E1049" s="17" t="s">
        <v>101</v>
      </c>
      <c r="F1049" s="18" t="s">
        <v>12</v>
      </c>
      <c r="G1049" s="19" t="s">
        <v>14</v>
      </c>
      <c r="H1049" s="20" t="s">
        <v>102</v>
      </c>
      <c r="I1049" s="18" t="s">
        <v>27</v>
      </c>
      <c r="J1049" t="s">
        <v>29</v>
      </c>
    </row>
    <row r="1050" spans="1:10" x14ac:dyDescent="0.25">
      <c r="A1050" t="s">
        <v>30</v>
      </c>
      <c r="B1050" s="16" t="s">
        <v>14</v>
      </c>
      <c r="C1050" t="s">
        <v>12</v>
      </c>
      <c r="D1050" t="str">
        <f t="shared" si="21"/>
        <v>NEPTUNE-Cancer-Gemini</v>
      </c>
      <c r="E1050" s="17" t="s">
        <v>103</v>
      </c>
      <c r="F1050" s="18" t="s">
        <v>9</v>
      </c>
      <c r="G1050" s="19" t="s">
        <v>14</v>
      </c>
      <c r="H1050" s="20" t="s">
        <v>104</v>
      </c>
      <c r="I1050" s="18" t="s">
        <v>25</v>
      </c>
      <c r="J1050" t="s">
        <v>29</v>
      </c>
    </row>
    <row r="1051" spans="1:10" x14ac:dyDescent="0.25">
      <c r="A1051" t="s">
        <v>30</v>
      </c>
      <c r="B1051" s="16" t="s">
        <v>14</v>
      </c>
      <c r="C1051" t="s">
        <v>14</v>
      </c>
      <c r="D1051" t="str">
        <f t="shared" si="21"/>
        <v>NEPTUNE-Cancer-Cancer</v>
      </c>
      <c r="E1051" s="17" t="s">
        <v>98</v>
      </c>
      <c r="F1051" s="18" t="s">
        <v>7</v>
      </c>
      <c r="G1051" s="19" t="s">
        <v>14</v>
      </c>
      <c r="H1051" s="20" t="s">
        <v>105</v>
      </c>
      <c r="I1051" s="18" t="s">
        <v>23</v>
      </c>
      <c r="J1051" t="s">
        <v>29</v>
      </c>
    </row>
    <row r="1052" spans="1:10" x14ac:dyDescent="0.25">
      <c r="A1052" t="s">
        <v>30</v>
      </c>
      <c r="B1052" s="16" t="s">
        <v>14</v>
      </c>
      <c r="C1052" t="s">
        <v>16</v>
      </c>
      <c r="D1052" t="str">
        <f t="shared" si="21"/>
        <v>NEPTUNE-Cancer-Leo</v>
      </c>
      <c r="E1052" s="17" t="s">
        <v>100</v>
      </c>
      <c r="F1052" s="18" t="s">
        <v>29</v>
      </c>
      <c r="G1052" s="19" t="s">
        <v>14</v>
      </c>
      <c r="H1052" s="20" t="s">
        <v>106</v>
      </c>
      <c r="I1052" s="18" t="s">
        <v>21</v>
      </c>
      <c r="J1052" t="s">
        <v>29</v>
      </c>
    </row>
    <row r="1053" spans="1:10" x14ac:dyDescent="0.25">
      <c r="A1053" t="s">
        <v>30</v>
      </c>
      <c r="B1053" s="16" t="s">
        <v>14</v>
      </c>
      <c r="C1053" t="s">
        <v>18</v>
      </c>
      <c r="D1053" t="str">
        <f t="shared" si="21"/>
        <v>NEPTUNE-Cancer-Virgo</v>
      </c>
      <c r="E1053" s="17" t="s">
        <v>102</v>
      </c>
      <c r="F1053" s="18" t="s">
        <v>27</v>
      </c>
      <c r="G1053" s="19" t="s">
        <v>14</v>
      </c>
      <c r="H1053" s="20" t="s">
        <v>107</v>
      </c>
      <c r="I1053" s="18" t="s">
        <v>10</v>
      </c>
      <c r="J1053" t="s">
        <v>29</v>
      </c>
    </row>
    <row r="1054" spans="1:10" x14ac:dyDescent="0.25">
      <c r="A1054" t="s">
        <v>30</v>
      </c>
      <c r="B1054" s="16" t="s">
        <v>14</v>
      </c>
      <c r="C1054" t="s">
        <v>10</v>
      </c>
      <c r="D1054" t="str">
        <f t="shared" si="21"/>
        <v>NEPTUNE-Cancer-Libra</v>
      </c>
      <c r="E1054" s="17" t="s">
        <v>104</v>
      </c>
      <c r="F1054" s="18" t="s">
        <v>25</v>
      </c>
      <c r="G1054" s="19" t="s">
        <v>14</v>
      </c>
      <c r="H1054" s="20" t="s">
        <v>108</v>
      </c>
      <c r="I1054" s="18" t="s">
        <v>18</v>
      </c>
      <c r="J1054" t="s">
        <v>29</v>
      </c>
    </row>
    <row r="1055" spans="1:10" x14ac:dyDescent="0.25">
      <c r="A1055" t="s">
        <v>30</v>
      </c>
      <c r="B1055" s="16" t="s">
        <v>14</v>
      </c>
      <c r="C1055" t="s">
        <v>21</v>
      </c>
      <c r="D1055" t="str">
        <f t="shared" si="21"/>
        <v>NEPTUNE-Cancer-Scorpio</v>
      </c>
      <c r="E1055" s="17" t="s">
        <v>105</v>
      </c>
      <c r="F1055" s="18" t="s">
        <v>23</v>
      </c>
      <c r="G1055" s="19" t="s">
        <v>14</v>
      </c>
      <c r="H1055" s="20" t="s">
        <v>109</v>
      </c>
      <c r="I1055" s="18" t="s">
        <v>16</v>
      </c>
      <c r="J1055" t="s">
        <v>29</v>
      </c>
    </row>
    <row r="1056" spans="1:10" x14ac:dyDescent="0.25">
      <c r="A1056" t="s">
        <v>30</v>
      </c>
      <c r="B1056" s="16" t="s">
        <v>14</v>
      </c>
      <c r="C1056" t="s">
        <v>23</v>
      </c>
      <c r="D1056" t="str">
        <f t="shared" si="21"/>
        <v>NEPTUNE-Cancer-Sagittarius</v>
      </c>
      <c r="E1056" s="17" t="s">
        <v>106</v>
      </c>
      <c r="F1056" s="18" t="s">
        <v>21</v>
      </c>
      <c r="G1056" s="19" t="s">
        <v>14</v>
      </c>
      <c r="H1056" s="20" t="s">
        <v>99</v>
      </c>
      <c r="I1056" s="18" t="s">
        <v>14</v>
      </c>
      <c r="J1056" t="s">
        <v>29</v>
      </c>
    </row>
    <row r="1057" spans="1:10" x14ac:dyDescent="0.25">
      <c r="A1057" t="s">
        <v>30</v>
      </c>
      <c r="B1057" s="16" t="s">
        <v>14</v>
      </c>
      <c r="C1057" t="s">
        <v>25</v>
      </c>
      <c r="D1057" t="str">
        <f t="shared" si="21"/>
        <v>NEPTUNE-Cancer-Capricorn</v>
      </c>
      <c r="E1057" s="17" t="s">
        <v>107</v>
      </c>
      <c r="F1057" s="18" t="s">
        <v>10</v>
      </c>
      <c r="G1057" s="19" t="s">
        <v>14</v>
      </c>
      <c r="H1057" s="20" t="s">
        <v>101</v>
      </c>
      <c r="I1057" s="18" t="s">
        <v>12</v>
      </c>
      <c r="J1057" t="s">
        <v>29</v>
      </c>
    </row>
    <row r="1058" spans="1:10" x14ac:dyDescent="0.25">
      <c r="A1058" t="s">
        <v>30</v>
      </c>
      <c r="B1058" s="16" t="s">
        <v>14</v>
      </c>
      <c r="C1058" t="s">
        <v>27</v>
      </c>
      <c r="D1058" t="str">
        <f t="shared" si="21"/>
        <v>NEPTUNE-Cancer-Aquarius</v>
      </c>
      <c r="E1058" s="17" t="s">
        <v>108</v>
      </c>
      <c r="F1058" s="18" t="s">
        <v>18</v>
      </c>
      <c r="G1058" s="19" t="s">
        <v>14</v>
      </c>
      <c r="H1058" s="20" t="s">
        <v>103</v>
      </c>
      <c r="I1058" s="18" t="s">
        <v>9</v>
      </c>
      <c r="J1058" t="s">
        <v>29</v>
      </c>
    </row>
    <row r="1059" spans="1:10" x14ac:dyDescent="0.25">
      <c r="A1059" t="s">
        <v>30</v>
      </c>
      <c r="B1059" s="16" t="s">
        <v>14</v>
      </c>
      <c r="C1059" t="s">
        <v>29</v>
      </c>
      <c r="D1059" t="str">
        <f t="shared" si="21"/>
        <v>NEPTUNE-Cancer-Pisces</v>
      </c>
      <c r="E1059" s="17" t="s">
        <v>109</v>
      </c>
      <c r="F1059" s="18" t="s">
        <v>16</v>
      </c>
      <c r="G1059" s="19" t="s">
        <v>14</v>
      </c>
      <c r="H1059" s="20" t="s">
        <v>98</v>
      </c>
      <c r="I1059" s="18" t="s">
        <v>7</v>
      </c>
      <c r="J1059" t="s">
        <v>29</v>
      </c>
    </row>
    <row r="1060" spans="1:10" x14ac:dyDescent="0.25">
      <c r="A1060" t="s">
        <v>30</v>
      </c>
      <c r="B1060" s="16" t="s">
        <v>16</v>
      </c>
      <c r="C1060" t="s">
        <v>7</v>
      </c>
      <c r="D1060" t="str">
        <f t="shared" si="21"/>
        <v>NEPTUNE-Leo-Aries</v>
      </c>
      <c r="E1060" s="17" t="s">
        <v>109</v>
      </c>
      <c r="F1060" s="18" t="s">
        <v>16</v>
      </c>
      <c r="G1060" s="19" t="s">
        <v>16</v>
      </c>
      <c r="H1060" s="20" t="s">
        <v>100</v>
      </c>
      <c r="I1060" s="18" t="s">
        <v>29</v>
      </c>
      <c r="J1060" t="s">
        <v>29</v>
      </c>
    </row>
    <row r="1061" spans="1:10" x14ac:dyDescent="0.25">
      <c r="A1061" t="s">
        <v>30</v>
      </c>
      <c r="B1061" s="16" t="s">
        <v>16</v>
      </c>
      <c r="C1061" t="s">
        <v>9</v>
      </c>
      <c r="D1061" t="str">
        <f t="shared" si="21"/>
        <v>NEPTUNE-Leo-Taurus</v>
      </c>
      <c r="E1061" s="17" t="s">
        <v>99</v>
      </c>
      <c r="F1061" s="18" t="s">
        <v>14</v>
      </c>
      <c r="G1061" s="19" t="s">
        <v>16</v>
      </c>
      <c r="H1061" s="20" t="s">
        <v>102</v>
      </c>
      <c r="I1061" s="18" t="s">
        <v>27</v>
      </c>
      <c r="J1061" t="s">
        <v>29</v>
      </c>
    </row>
    <row r="1062" spans="1:10" x14ac:dyDescent="0.25">
      <c r="A1062" t="s">
        <v>30</v>
      </c>
      <c r="B1062" s="16" t="s">
        <v>16</v>
      </c>
      <c r="C1062" t="s">
        <v>12</v>
      </c>
      <c r="D1062" t="str">
        <f t="shared" si="21"/>
        <v>NEPTUNE-Leo-Gemini</v>
      </c>
      <c r="E1062" s="17" t="s">
        <v>101</v>
      </c>
      <c r="F1062" s="18" t="s">
        <v>12</v>
      </c>
      <c r="G1062" s="19" t="s">
        <v>16</v>
      </c>
      <c r="H1062" s="20" t="s">
        <v>104</v>
      </c>
      <c r="I1062" s="18" t="s">
        <v>25</v>
      </c>
      <c r="J1062" t="s">
        <v>29</v>
      </c>
    </row>
    <row r="1063" spans="1:10" x14ac:dyDescent="0.25">
      <c r="A1063" t="s">
        <v>30</v>
      </c>
      <c r="B1063" s="16" t="s">
        <v>16</v>
      </c>
      <c r="C1063" t="s">
        <v>14</v>
      </c>
      <c r="D1063" t="str">
        <f t="shared" si="21"/>
        <v>NEPTUNE-Leo-Cancer</v>
      </c>
      <c r="E1063" s="17" t="s">
        <v>103</v>
      </c>
      <c r="F1063" s="18" t="s">
        <v>9</v>
      </c>
      <c r="G1063" s="19" t="s">
        <v>16</v>
      </c>
      <c r="H1063" s="20" t="s">
        <v>105</v>
      </c>
      <c r="I1063" s="18" t="s">
        <v>23</v>
      </c>
      <c r="J1063" t="s">
        <v>29</v>
      </c>
    </row>
    <row r="1064" spans="1:10" x14ac:dyDescent="0.25">
      <c r="A1064" t="s">
        <v>30</v>
      </c>
      <c r="B1064" s="16" t="s">
        <v>16</v>
      </c>
      <c r="C1064" t="s">
        <v>16</v>
      </c>
      <c r="D1064" t="str">
        <f t="shared" si="21"/>
        <v>NEPTUNE-Leo-Leo</v>
      </c>
      <c r="E1064" s="17" t="s">
        <v>98</v>
      </c>
      <c r="F1064" s="18" t="s">
        <v>7</v>
      </c>
      <c r="G1064" s="19" t="s">
        <v>16</v>
      </c>
      <c r="H1064" s="20" t="s">
        <v>106</v>
      </c>
      <c r="I1064" s="18" t="s">
        <v>21</v>
      </c>
      <c r="J1064" t="s">
        <v>29</v>
      </c>
    </row>
    <row r="1065" spans="1:10" x14ac:dyDescent="0.25">
      <c r="A1065" t="s">
        <v>30</v>
      </c>
      <c r="B1065" s="16" t="s">
        <v>16</v>
      </c>
      <c r="C1065" t="s">
        <v>18</v>
      </c>
      <c r="D1065" t="str">
        <f t="shared" si="21"/>
        <v>NEPTUNE-Leo-Virgo</v>
      </c>
      <c r="E1065" s="17" t="s">
        <v>100</v>
      </c>
      <c r="F1065" s="18" t="s">
        <v>29</v>
      </c>
      <c r="G1065" s="19" t="s">
        <v>16</v>
      </c>
      <c r="H1065" s="20" t="s">
        <v>107</v>
      </c>
      <c r="I1065" s="18" t="s">
        <v>10</v>
      </c>
      <c r="J1065" t="s">
        <v>29</v>
      </c>
    </row>
    <row r="1066" spans="1:10" x14ac:dyDescent="0.25">
      <c r="A1066" t="s">
        <v>30</v>
      </c>
      <c r="B1066" s="16" t="s">
        <v>16</v>
      </c>
      <c r="C1066" t="s">
        <v>10</v>
      </c>
      <c r="D1066" t="str">
        <f t="shared" si="21"/>
        <v>NEPTUNE-Leo-Libra</v>
      </c>
      <c r="E1066" s="17" t="s">
        <v>102</v>
      </c>
      <c r="F1066" s="18" t="s">
        <v>27</v>
      </c>
      <c r="G1066" s="19" t="s">
        <v>16</v>
      </c>
      <c r="H1066" s="20" t="s">
        <v>108</v>
      </c>
      <c r="I1066" s="18" t="s">
        <v>18</v>
      </c>
      <c r="J1066" t="s">
        <v>29</v>
      </c>
    </row>
    <row r="1067" spans="1:10" x14ac:dyDescent="0.25">
      <c r="A1067" t="s">
        <v>30</v>
      </c>
      <c r="B1067" s="16" t="s">
        <v>16</v>
      </c>
      <c r="C1067" t="s">
        <v>21</v>
      </c>
      <c r="D1067" t="str">
        <f t="shared" si="21"/>
        <v>NEPTUNE-Leo-Scorpio</v>
      </c>
      <c r="E1067" s="17" t="s">
        <v>104</v>
      </c>
      <c r="F1067" s="18" t="s">
        <v>25</v>
      </c>
      <c r="G1067" s="19" t="s">
        <v>16</v>
      </c>
      <c r="H1067" s="20" t="s">
        <v>109</v>
      </c>
      <c r="I1067" s="18" t="s">
        <v>16</v>
      </c>
      <c r="J1067" t="s">
        <v>29</v>
      </c>
    </row>
    <row r="1068" spans="1:10" x14ac:dyDescent="0.25">
      <c r="A1068" t="s">
        <v>30</v>
      </c>
      <c r="B1068" s="16" t="s">
        <v>16</v>
      </c>
      <c r="C1068" t="s">
        <v>23</v>
      </c>
      <c r="D1068" t="str">
        <f t="shared" si="21"/>
        <v>NEPTUNE-Leo-Sagittarius</v>
      </c>
      <c r="E1068" s="17" t="s">
        <v>105</v>
      </c>
      <c r="F1068" s="18" t="s">
        <v>23</v>
      </c>
      <c r="G1068" s="19" t="s">
        <v>16</v>
      </c>
      <c r="H1068" s="20" t="s">
        <v>99</v>
      </c>
      <c r="I1068" s="18" t="s">
        <v>14</v>
      </c>
      <c r="J1068" t="s">
        <v>29</v>
      </c>
    </row>
    <row r="1069" spans="1:10" x14ac:dyDescent="0.25">
      <c r="A1069" t="s">
        <v>30</v>
      </c>
      <c r="B1069" s="16" t="s">
        <v>16</v>
      </c>
      <c r="C1069" t="s">
        <v>25</v>
      </c>
      <c r="D1069" t="str">
        <f t="shared" si="21"/>
        <v>NEPTUNE-Leo-Capricorn</v>
      </c>
      <c r="E1069" s="17" t="s">
        <v>106</v>
      </c>
      <c r="F1069" s="18" t="s">
        <v>21</v>
      </c>
      <c r="G1069" s="19" t="s">
        <v>16</v>
      </c>
      <c r="H1069" s="20" t="s">
        <v>101</v>
      </c>
      <c r="I1069" s="18" t="s">
        <v>12</v>
      </c>
      <c r="J1069" t="s">
        <v>29</v>
      </c>
    </row>
    <row r="1070" spans="1:10" x14ac:dyDescent="0.25">
      <c r="A1070" t="s">
        <v>30</v>
      </c>
      <c r="B1070" s="16" t="s">
        <v>16</v>
      </c>
      <c r="C1070" t="s">
        <v>27</v>
      </c>
      <c r="D1070" t="str">
        <f t="shared" si="21"/>
        <v>NEPTUNE-Leo-Aquarius</v>
      </c>
      <c r="E1070" s="17" t="s">
        <v>107</v>
      </c>
      <c r="F1070" s="18" t="s">
        <v>10</v>
      </c>
      <c r="G1070" s="19" t="s">
        <v>16</v>
      </c>
      <c r="H1070" s="20" t="s">
        <v>103</v>
      </c>
      <c r="I1070" s="18" t="s">
        <v>9</v>
      </c>
      <c r="J1070" t="s">
        <v>29</v>
      </c>
    </row>
    <row r="1071" spans="1:10" x14ac:dyDescent="0.25">
      <c r="A1071" t="s">
        <v>30</v>
      </c>
      <c r="B1071" s="16" t="s">
        <v>16</v>
      </c>
      <c r="C1071" t="s">
        <v>29</v>
      </c>
      <c r="D1071" t="str">
        <f t="shared" si="21"/>
        <v>NEPTUNE-Leo-Pisces</v>
      </c>
      <c r="E1071" s="17" t="s">
        <v>108</v>
      </c>
      <c r="F1071" s="18" t="s">
        <v>18</v>
      </c>
      <c r="G1071" s="19" t="s">
        <v>16</v>
      </c>
      <c r="H1071" s="20" t="s">
        <v>98</v>
      </c>
      <c r="I1071" s="18" t="s">
        <v>7</v>
      </c>
      <c r="J1071" t="s">
        <v>29</v>
      </c>
    </row>
    <row r="1072" spans="1:10" x14ac:dyDescent="0.25">
      <c r="A1072" t="s">
        <v>30</v>
      </c>
      <c r="B1072" s="16" t="s">
        <v>18</v>
      </c>
      <c r="C1072" t="s">
        <v>7</v>
      </c>
      <c r="D1072" t="str">
        <f t="shared" si="21"/>
        <v>NEPTUNE-Virgo-Aries</v>
      </c>
      <c r="E1072" s="17" t="s">
        <v>108</v>
      </c>
      <c r="F1072" s="18" t="s">
        <v>18</v>
      </c>
      <c r="G1072" s="19" t="s">
        <v>18</v>
      </c>
      <c r="H1072" s="20" t="s">
        <v>100</v>
      </c>
      <c r="I1072" s="18" t="s">
        <v>29</v>
      </c>
      <c r="J1072" t="s">
        <v>29</v>
      </c>
    </row>
    <row r="1073" spans="1:10" x14ac:dyDescent="0.25">
      <c r="A1073" t="s">
        <v>30</v>
      </c>
      <c r="B1073" s="16" t="s">
        <v>18</v>
      </c>
      <c r="C1073" t="s">
        <v>9</v>
      </c>
      <c r="D1073" t="str">
        <f t="shared" si="21"/>
        <v>NEPTUNE-Virgo-Taurus</v>
      </c>
      <c r="E1073" s="17" t="s">
        <v>109</v>
      </c>
      <c r="F1073" s="18" t="s">
        <v>16</v>
      </c>
      <c r="G1073" s="19" t="s">
        <v>18</v>
      </c>
      <c r="H1073" s="20" t="s">
        <v>102</v>
      </c>
      <c r="I1073" s="18" t="s">
        <v>27</v>
      </c>
      <c r="J1073" t="s">
        <v>29</v>
      </c>
    </row>
    <row r="1074" spans="1:10" x14ac:dyDescent="0.25">
      <c r="A1074" t="s">
        <v>30</v>
      </c>
      <c r="B1074" s="16" t="s">
        <v>18</v>
      </c>
      <c r="C1074" t="s">
        <v>12</v>
      </c>
      <c r="D1074" t="str">
        <f t="shared" si="21"/>
        <v>NEPTUNE-Virgo-Gemini</v>
      </c>
      <c r="E1074" s="17" t="s">
        <v>99</v>
      </c>
      <c r="F1074" s="18" t="s">
        <v>14</v>
      </c>
      <c r="G1074" s="19" t="s">
        <v>18</v>
      </c>
      <c r="H1074" s="20" t="s">
        <v>104</v>
      </c>
      <c r="I1074" s="18" t="s">
        <v>25</v>
      </c>
      <c r="J1074" t="s">
        <v>29</v>
      </c>
    </row>
    <row r="1075" spans="1:10" x14ac:dyDescent="0.25">
      <c r="A1075" t="s">
        <v>30</v>
      </c>
      <c r="B1075" s="16" t="s">
        <v>18</v>
      </c>
      <c r="C1075" t="s">
        <v>14</v>
      </c>
      <c r="D1075" t="str">
        <f t="shared" si="21"/>
        <v>NEPTUNE-Virgo-Cancer</v>
      </c>
      <c r="E1075" s="17" t="s">
        <v>101</v>
      </c>
      <c r="F1075" s="18" t="s">
        <v>12</v>
      </c>
      <c r="G1075" s="19" t="s">
        <v>18</v>
      </c>
      <c r="H1075" s="20" t="s">
        <v>105</v>
      </c>
      <c r="I1075" s="18" t="s">
        <v>23</v>
      </c>
      <c r="J1075" t="s">
        <v>29</v>
      </c>
    </row>
    <row r="1076" spans="1:10" x14ac:dyDescent="0.25">
      <c r="A1076" t="s">
        <v>30</v>
      </c>
      <c r="B1076" s="16" t="s">
        <v>18</v>
      </c>
      <c r="C1076" t="s">
        <v>16</v>
      </c>
      <c r="D1076" t="str">
        <f t="shared" si="21"/>
        <v>NEPTUNE-Virgo-Leo</v>
      </c>
      <c r="E1076" s="17" t="s">
        <v>103</v>
      </c>
      <c r="F1076" s="18" t="s">
        <v>9</v>
      </c>
      <c r="G1076" s="19" t="s">
        <v>18</v>
      </c>
      <c r="H1076" s="20" t="s">
        <v>106</v>
      </c>
      <c r="I1076" s="18" t="s">
        <v>21</v>
      </c>
      <c r="J1076" t="s">
        <v>29</v>
      </c>
    </row>
    <row r="1077" spans="1:10" x14ac:dyDescent="0.25">
      <c r="A1077" t="s">
        <v>30</v>
      </c>
      <c r="B1077" s="16" t="s">
        <v>18</v>
      </c>
      <c r="C1077" t="s">
        <v>18</v>
      </c>
      <c r="D1077" t="str">
        <f t="shared" ref="D1077:D1140" si="22">A1077&amp;"-"&amp;B1077&amp;"-"&amp;C1077</f>
        <v>NEPTUNE-Virgo-Virgo</v>
      </c>
      <c r="E1077" s="17" t="s">
        <v>98</v>
      </c>
      <c r="F1077" s="18" t="s">
        <v>7</v>
      </c>
      <c r="G1077" s="19" t="s">
        <v>18</v>
      </c>
      <c r="H1077" s="20" t="s">
        <v>107</v>
      </c>
      <c r="I1077" s="18" t="s">
        <v>10</v>
      </c>
      <c r="J1077" t="s">
        <v>29</v>
      </c>
    </row>
    <row r="1078" spans="1:10" x14ac:dyDescent="0.25">
      <c r="A1078" t="s">
        <v>30</v>
      </c>
      <c r="B1078" s="16" t="s">
        <v>18</v>
      </c>
      <c r="C1078" t="s">
        <v>10</v>
      </c>
      <c r="D1078" t="str">
        <f t="shared" si="22"/>
        <v>NEPTUNE-Virgo-Libra</v>
      </c>
      <c r="E1078" s="17" t="s">
        <v>100</v>
      </c>
      <c r="F1078" s="18" t="s">
        <v>29</v>
      </c>
      <c r="G1078" s="19" t="s">
        <v>18</v>
      </c>
      <c r="H1078" s="20" t="s">
        <v>108</v>
      </c>
      <c r="I1078" s="18" t="s">
        <v>18</v>
      </c>
      <c r="J1078" t="s">
        <v>29</v>
      </c>
    </row>
    <row r="1079" spans="1:10" x14ac:dyDescent="0.25">
      <c r="A1079" t="s">
        <v>30</v>
      </c>
      <c r="B1079" s="16" t="s">
        <v>18</v>
      </c>
      <c r="C1079" t="s">
        <v>21</v>
      </c>
      <c r="D1079" t="str">
        <f t="shared" si="22"/>
        <v>NEPTUNE-Virgo-Scorpio</v>
      </c>
      <c r="E1079" s="17" t="s">
        <v>102</v>
      </c>
      <c r="F1079" s="18" t="s">
        <v>27</v>
      </c>
      <c r="G1079" s="19" t="s">
        <v>18</v>
      </c>
      <c r="H1079" s="20" t="s">
        <v>109</v>
      </c>
      <c r="I1079" s="18" t="s">
        <v>16</v>
      </c>
      <c r="J1079" t="s">
        <v>29</v>
      </c>
    </row>
    <row r="1080" spans="1:10" x14ac:dyDescent="0.25">
      <c r="A1080" t="s">
        <v>30</v>
      </c>
      <c r="B1080" s="16" t="s">
        <v>18</v>
      </c>
      <c r="C1080" t="s">
        <v>23</v>
      </c>
      <c r="D1080" t="str">
        <f t="shared" si="22"/>
        <v>NEPTUNE-Virgo-Sagittarius</v>
      </c>
      <c r="E1080" s="17" t="s">
        <v>104</v>
      </c>
      <c r="F1080" s="18" t="s">
        <v>25</v>
      </c>
      <c r="G1080" s="19" t="s">
        <v>18</v>
      </c>
      <c r="H1080" s="20" t="s">
        <v>99</v>
      </c>
      <c r="I1080" s="18" t="s">
        <v>14</v>
      </c>
      <c r="J1080" t="s">
        <v>29</v>
      </c>
    </row>
    <row r="1081" spans="1:10" x14ac:dyDescent="0.25">
      <c r="A1081" t="s">
        <v>30</v>
      </c>
      <c r="B1081" s="16" t="s">
        <v>18</v>
      </c>
      <c r="C1081" t="s">
        <v>25</v>
      </c>
      <c r="D1081" t="str">
        <f t="shared" si="22"/>
        <v>NEPTUNE-Virgo-Capricorn</v>
      </c>
      <c r="E1081" s="17" t="s">
        <v>105</v>
      </c>
      <c r="F1081" s="18" t="s">
        <v>23</v>
      </c>
      <c r="G1081" s="19" t="s">
        <v>18</v>
      </c>
      <c r="H1081" s="20" t="s">
        <v>101</v>
      </c>
      <c r="I1081" s="18" t="s">
        <v>12</v>
      </c>
      <c r="J1081" t="s">
        <v>29</v>
      </c>
    </row>
    <row r="1082" spans="1:10" x14ac:dyDescent="0.25">
      <c r="A1082" t="s">
        <v>30</v>
      </c>
      <c r="B1082" s="16" t="s">
        <v>18</v>
      </c>
      <c r="C1082" t="s">
        <v>27</v>
      </c>
      <c r="D1082" t="str">
        <f t="shared" si="22"/>
        <v>NEPTUNE-Virgo-Aquarius</v>
      </c>
      <c r="E1082" s="17" t="s">
        <v>106</v>
      </c>
      <c r="F1082" s="18" t="s">
        <v>21</v>
      </c>
      <c r="G1082" s="19" t="s">
        <v>18</v>
      </c>
      <c r="H1082" s="20" t="s">
        <v>103</v>
      </c>
      <c r="I1082" s="18" t="s">
        <v>9</v>
      </c>
      <c r="J1082" t="s">
        <v>29</v>
      </c>
    </row>
    <row r="1083" spans="1:10" x14ac:dyDescent="0.25">
      <c r="A1083" t="s">
        <v>30</v>
      </c>
      <c r="B1083" s="16" t="s">
        <v>18</v>
      </c>
      <c r="C1083" t="s">
        <v>29</v>
      </c>
      <c r="D1083" t="str">
        <f t="shared" si="22"/>
        <v>NEPTUNE-Virgo-Pisces</v>
      </c>
      <c r="E1083" s="17" t="s">
        <v>107</v>
      </c>
      <c r="F1083" s="18" t="s">
        <v>10</v>
      </c>
      <c r="G1083" s="19" t="s">
        <v>18</v>
      </c>
      <c r="H1083" s="20" t="s">
        <v>98</v>
      </c>
      <c r="I1083" s="18" t="s">
        <v>7</v>
      </c>
      <c r="J1083" t="s">
        <v>29</v>
      </c>
    </row>
    <row r="1084" spans="1:10" x14ac:dyDescent="0.25">
      <c r="A1084" t="s">
        <v>30</v>
      </c>
      <c r="B1084" s="16" t="s">
        <v>10</v>
      </c>
      <c r="C1084" t="s">
        <v>7</v>
      </c>
      <c r="D1084" t="str">
        <f t="shared" si="22"/>
        <v>NEPTUNE-Libra-Aries</v>
      </c>
      <c r="E1084" s="17" t="s">
        <v>107</v>
      </c>
      <c r="F1084" s="18" t="s">
        <v>10</v>
      </c>
      <c r="G1084" s="19" t="s">
        <v>10</v>
      </c>
      <c r="H1084" s="20" t="s">
        <v>100</v>
      </c>
      <c r="I1084" s="18" t="s">
        <v>29</v>
      </c>
      <c r="J1084" t="s">
        <v>29</v>
      </c>
    </row>
    <row r="1085" spans="1:10" x14ac:dyDescent="0.25">
      <c r="A1085" t="s">
        <v>30</v>
      </c>
      <c r="B1085" s="16" t="s">
        <v>10</v>
      </c>
      <c r="C1085" t="s">
        <v>9</v>
      </c>
      <c r="D1085" t="str">
        <f t="shared" si="22"/>
        <v>NEPTUNE-Libra-Taurus</v>
      </c>
      <c r="E1085" s="17" t="s">
        <v>108</v>
      </c>
      <c r="F1085" s="18" t="s">
        <v>18</v>
      </c>
      <c r="G1085" s="19" t="s">
        <v>10</v>
      </c>
      <c r="H1085" s="20" t="s">
        <v>102</v>
      </c>
      <c r="I1085" s="18" t="s">
        <v>27</v>
      </c>
      <c r="J1085" t="s">
        <v>29</v>
      </c>
    </row>
    <row r="1086" spans="1:10" x14ac:dyDescent="0.25">
      <c r="A1086" t="s">
        <v>30</v>
      </c>
      <c r="B1086" s="16" t="s">
        <v>10</v>
      </c>
      <c r="C1086" t="s">
        <v>12</v>
      </c>
      <c r="D1086" t="str">
        <f t="shared" si="22"/>
        <v>NEPTUNE-Libra-Gemini</v>
      </c>
      <c r="E1086" s="17" t="s">
        <v>109</v>
      </c>
      <c r="F1086" s="18" t="s">
        <v>16</v>
      </c>
      <c r="G1086" s="19" t="s">
        <v>10</v>
      </c>
      <c r="H1086" s="20" t="s">
        <v>104</v>
      </c>
      <c r="I1086" s="18" t="s">
        <v>25</v>
      </c>
      <c r="J1086" t="s">
        <v>29</v>
      </c>
    </row>
    <row r="1087" spans="1:10" x14ac:dyDescent="0.25">
      <c r="A1087" t="s">
        <v>30</v>
      </c>
      <c r="B1087" s="16" t="s">
        <v>10</v>
      </c>
      <c r="C1087" t="s">
        <v>14</v>
      </c>
      <c r="D1087" t="str">
        <f t="shared" si="22"/>
        <v>NEPTUNE-Libra-Cancer</v>
      </c>
      <c r="E1087" s="17" t="s">
        <v>99</v>
      </c>
      <c r="F1087" s="18" t="s">
        <v>14</v>
      </c>
      <c r="G1087" s="19" t="s">
        <v>10</v>
      </c>
      <c r="H1087" s="20" t="s">
        <v>105</v>
      </c>
      <c r="I1087" s="18" t="s">
        <v>23</v>
      </c>
      <c r="J1087" t="s">
        <v>29</v>
      </c>
    </row>
    <row r="1088" spans="1:10" x14ac:dyDescent="0.25">
      <c r="A1088" t="s">
        <v>30</v>
      </c>
      <c r="B1088" s="16" t="s">
        <v>10</v>
      </c>
      <c r="C1088" t="s">
        <v>16</v>
      </c>
      <c r="D1088" t="str">
        <f t="shared" si="22"/>
        <v>NEPTUNE-Libra-Leo</v>
      </c>
      <c r="E1088" s="17" t="s">
        <v>101</v>
      </c>
      <c r="F1088" s="18" t="s">
        <v>12</v>
      </c>
      <c r="G1088" s="19" t="s">
        <v>10</v>
      </c>
      <c r="H1088" s="20" t="s">
        <v>106</v>
      </c>
      <c r="I1088" s="18" t="s">
        <v>21</v>
      </c>
      <c r="J1088" t="s">
        <v>29</v>
      </c>
    </row>
    <row r="1089" spans="1:10" x14ac:dyDescent="0.25">
      <c r="A1089" t="s">
        <v>30</v>
      </c>
      <c r="B1089" s="16" t="s">
        <v>10</v>
      </c>
      <c r="C1089" t="s">
        <v>18</v>
      </c>
      <c r="D1089" t="str">
        <f t="shared" si="22"/>
        <v>NEPTUNE-Libra-Virgo</v>
      </c>
      <c r="E1089" s="17" t="s">
        <v>103</v>
      </c>
      <c r="F1089" s="18" t="s">
        <v>9</v>
      </c>
      <c r="G1089" s="19" t="s">
        <v>10</v>
      </c>
      <c r="H1089" s="20" t="s">
        <v>107</v>
      </c>
      <c r="I1089" s="18" t="s">
        <v>10</v>
      </c>
      <c r="J1089" t="s">
        <v>29</v>
      </c>
    </row>
    <row r="1090" spans="1:10" x14ac:dyDescent="0.25">
      <c r="A1090" t="s">
        <v>30</v>
      </c>
      <c r="B1090" s="16" t="s">
        <v>10</v>
      </c>
      <c r="C1090" t="s">
        <v>10</v>
      </c>
      <c r="D1090" t="str">
        <f t="shared" si="22"/>
        <v>NEPTUNE-Libra-Libra</v>
      </c>
      <c r="E1090" s="17" t="s">
        <v>98</v>
      </c>
      <c r="F1090" s="18" t="s">
        <v>7</v>
      </c>
      <c r="G1090" s="19" t="s">
        <v>10</v>
      </c>
      <c r="H1090" s="20" t="s">
        <v>108</v>
      </c>
      <c r="I1090" s="18" t="s">
        <v>18</v>
      </c>
      <c r="J1090" t="s">
        <v>29</v>
      </c>
    </row>
    <row r="1091" spans="1:10" x14ac:dyDescent="0.25">
      <c r="A1091" t="s">
        <v>30</v>
      </c>
      <c r="B1091" s="16" t="s">
        <v>10</v>
      </c>
      <c r="C1091" t="s">
        <v>21</v>
      </c>
      <c r="D1091" t="str">
        <f t="shared" si="22"/>
        <v>NEPTUNE-Libra-Scorpio</v>
      </c>
      <c r="E1091" s="17" t="s">
        <v>100</v>
      </c>
      <c r="F1091" s="18" t="s">
        <v>29</v>
      </c>
      <c r="G1091" s="19" t="s">
        <v>10</v>
      </c>
      <c r="H1091" s="20" t="s">
        <v>109</v>
      </c>
      <c r="I1091" s="18" t="s">
        <v>16</v>
      </c>
      <c r="J1091" t="s">
        <v>29</v>
      </c>
    </row>
    <row r="1092" spans="1:10" x14ac:dyDescent="0.25">
      <c r="A1092" t="s">
        <v>30</v>
      </c>
      <c r="B1092" s="16" t="s">
        <v>10</v>
      </c>
      <c r="C1092" t="s">
        <v>23</v>
      </c>
      <c r="D1092" t="str">
        <f t="shared" si="22"/>
        <v>NEPTUNE-Libra-Sagittarius</v>
      </c>
      <c r="E1092" s="17" t="s">
        <v>102</v>
      </c>
      <c r="F1092" s="18" t="s">
        <v>27</v>
      </c>
      <c r="G1092" s="19" t="s">
        <v>10</v>
      </c>
      <c r="H1092" s="20" t="s">
        <v>99</v>
      </c>
      <c r="I1092" s="18" t="s">
        <v>14</v>
      </c>
      <c r="J1092" t="s">
        <v>29</v>
      </c>
    </row>
    <row r="1093" spans="1:10" x14ac:dyDescent="0.25">
      <c r="A1093" t="s">
        <v>30</v>
      </c>
      <c r="B1093" s="16" t="s">
        <v>10</v>
      </c>
      <c r="C1093" t="s">
        <v>25</v>
      </c>
      <c r="D1093" t="str">
        <f t="shared" si="22"/>
        <v>NEPTUNE-Libra-Capricorn</v>
      </c>
      <c r="E1093" s="17" t="s">
        <v>104</v>
      </c>
      <c r="F1093" s="18" t="s">
        <v>25</v>
      </c>
      <c r="G1093" s="19" t="s">
        <v>10</v>
      </c>
      <c r="H1093" s="20" t="s">
        <v>101</v>
      </c>
      <c r="I1093" s="18" t="s">
        <v>12</v>
      </c>
      <c r="J1093" t="s">
        <v>29</v>
      </c>
    </row>
    <row r="1094" spans="1:10" x14ac:dyDescent="0.25">
      <c r="A1094" t="s">
        <v>30</v>
      </c>
      <c r="B1094" s="16" t="s">
        <v>10</v>
      </c>
      <c r="C1094" t="s">
        <v>27</v>
      </c>
      <c r="D1094" t="str">
        <f t="shared" si="22"/>
        <v>NEPTUNE-Libra-Aquarius</v>
      </c>
      <c r="E1094" s="17" t="s">
        <v>105</v>
      </c>
      <c r="F1094" s="18" t="s">
        <v>23</v>
      </c>
      <c r="G1094" s="19" t="s">
        <v>10</v>
      </c>
      <c r="H1094" s="20" t="s">
        <v>103</v>
      </c>
      <c r="I1094" s="18" t="s">
        <v>9</v>
      </c>
      <c r="J1094" t="s">
        <v>29</v>
      </c>
    </row>
    <row r="1095" spans="1:10" x14ac:dyDescent="0.25">
      <c r="A1095" t="s">
        <v>30</v>
      </c>
      <c r="B1095" s="16" t="s">
        <v>10</v>
      </c>
      <c r="C1095" t="s">
        <v>29</v>
      </c>
      <c r="D1095" t="str">
        <f t="shared" si="22"/>
        <v>NEPTUNE-Libra-Pisces</v>
      </c>
      <c r="E1095" s="17" t="s">
        <v>106</v>
      </c>
      <c r="F1095" s="18" t="s">
        <v>21</v>
      </c>
      <c r="G1095" s="19" t="s">
        <v>10</v>
      </c>
      <c r="H1095" s="20" t="s">
        <v>98</v>
      </c>
      <c r="I1095" s="18" t="s">
        <v>7</v>
      </c>
      <c r="J1095" t="s">
        <v>29</v>
      </c>
    </row>
    <row r="1096" spans="1:10" x14ac:dyDescent="0.25">
      <c r="A1096" t="s">
        <v>30</v>
      </c>
      <c r="B1096" s="16" t="s">
        <v>21</v>
      </c>
      <c r="C1096" t="s">
        <v>7</v>
      </c>
      <c r="D1096" t="str">
        <f t="shared" si="22"/>
        <v>NEPTUNE-Scorpio-Aries</v>
      </c>
      <c r="E1096" s="17" t="s">
        <v>106</v>
      </c>
      <c r="F1096" s="18" t="s">
        <v>21</v>
      </c>
      <c r="G1096" s="19" t="s">
        <v>21</v>
      </c>
      <c r="H1096" s="20" t="s">
        <v>100</v>
      </c>
      <c r="I1096" s="18" t="s">
        <v>29</v>
      </c>
      <c r="J1096" t="s">
        <v>29</v>
      </c>
    </row>
    <row r="1097" spans="1:10" x14ac:dyDescent="0.25">
      <c r="A1097" t="s">
        <v>30</v>
      </c>
      <c r="B1097" s="16" t="s">
        <v>21</v>
      </c>
      <c r="C1097" t="s">
        <v>9</v>
      </c>
      <c r="D1097" t="str">
        <f t="shared" si="22"/>
        <v>NEPTUNE-Scorpio-Taurus</v>
      </c>
      <c r="E1097" s="17" t="s">
        <v>107</v>
      </c>
      <c r="F1097" s="18" t="s">
        <v>10</v>
      </c>
      <c r="G1097" s="19" t="s">
        <v>21</v>
      </c>
      <c r="H1097" s="20" t="s">
        <v>102</v>
      </c>
      <c r="I1097" s="18" t="s">
        <v>27</v>
      </c>
      <c r="J1097" t="s">
        <v>29</v>
      </c>
    </row>
    <row r="1098" spans="1:10" x14ac:dyDescent="0.25">
      <c r="A1098" t="s">
        <v>30</v>
      </c>
      <c r="B1098" s="16" t="s">
        <v>21</v>
      </c>
      <c r="C1098" t="s">
        <v>12</v>
      </c>
      <c r="D1098" t="str">
        <f t="shared" si="22"/>
        <v>NEPTUNE-Scorpio-Gemini</v>
      </c>
      <c r="E1098" s="17" t="s">
        <v>108</v>
      </c>
      <c r="F1098" s="18" t="s">
        <v>18</v>
      </c>
      <c r="G1098" s="19" t="s">
        <v>21</v>
      </c>
      <c r="H1098" s="20" t="s">
        <v>104</v>
      </c>
      <c r="I1098" s="18" t="s">
        <v>25</v>
      </c>
      <c r="J1098" t="s">
        <v>29</v>
      </c>
    </row>
    <row r="1099" spans="1:10" x14ac:dyDescent="0.25">
      <c r="A1099" t="s">
        <v>30</v>
      </c>
      <c r="B1099" s="16" t="s">
        <v>21</v>
      </c>
      <c r="C1099" t="s">
        <v>14</v>
      </c>
      <c r="D1099" t="str">
        <f t="shared" si="22"/>
        <v>NEPTUNE-Scorpio-Cancer</v>
      </c>
      <c r="E1099" s="17" t="s">
        <v>109</v>
      </c>
      <c r="F1099" s="18" t="s">
        <v>16</v>
      </c>
      <c r="G1099" s="19" t="s">
        <v>21</v>
      </c>
      <c r="H1099" s="20" t="s">
        <v>105</v>
      </c>
      <c r="I1099" s="18" t="s">
        <v>23</v>
      </c>
      <c r="J1099" t="s">
        <v>29</v>
      </c>
    </row>
    <row r="1100" spans="1:10" x14ac:dyDescent="0.25">
      <c r="A1100" t="s">
        <v>30</v>
      </c>
      <c r="B1100" s="16" t="s">
        <v>21</v>
      </c>
      <c r="C1100" t="s">
        <v>16</v>
      </c>
      <c r="D1100" t="str">
        <f t="shared" si="22"/>
        <v>NEPTUNE-Scorpio-Leo</v>
      </c>
      <c r="E1100" s="17" t="s">
        <v>99</v>
      </c>
      <c r="F1100" s="18" t="s">
        <v>14</v>
      </c>
      <c r="G1100" s="19" t="s">
        <v>21</v>
      </c>
      <c r="H1100" s="20" t="s">
        <v>106</v>
      </c>
      <c r="I1100" s="18" t="s">
        <v>21</v>
      </c>
      <c r="J1100" t="s">
        <v>29</v>
      </c>
    </row>
    <row r="1101" spans="1:10" x14ac:dyDescent="0.25">
      <c r="A1101" t="s">
        <v>30</v>
      </c>
      <c r="B1101" s="16" t="s">
        <v>21</v>
      </c>
      <c r="C1101" t="s">
        <v>18</v>
      </c>
      <c r="D1101" t="str">
        <f t="shared" si="22"/>
        <v>NEPTUNE-Scorpio-Virgo</v>
      </c>
      <c r="E1101" s="17" t="s">
        <v>101</v>
      </c>
      <c r="F1101" s="18" t="s">
        <v>12</v>
      </c>
      <c r="G1101" s="19" t="s">
        <v>21</v>
      </c>
      <c r="H1101" s="20" t="s">
        <v>107</v>
      </c>
      <c r="I1101" s="18" t="s">
        <v>10</v>
      </c>
      <c r="J1101" t="s">
        <v>29</v>
      </c>
    </row>
    <row r="1102" spans="1:10" x14ac:dyDescent="0.25">
      <c r="A1102" t="s">
        <v>30</v>
      </c>
      <c r="B1102" s="16" t="s">
        <v>21</v>
      </c>
      <c r="C1102" t="s">
        <v>10</v>
      </c>
      <c r="D1102" t="str">
        <f t="shared" si="22"/>
        <v>NEPTUNE-Scorpio-Libra</v>
      </c>
      <c r="E1102" s="17" t="s">
        <v>103</v>
      </c>
      <c r="F1102" s="18" t="s">
        <v>9</v>
      </c>
      <c r="G1102" s="19" t="s">
        <v>21</v>
      </c>
      <c r="H1102" s="20" t="s">
        <v>108</v>
      </c>
      <c r="I1102" s="18" t="s">
        <v>18</v>
      </c>
      <c r="J1102" t="s">
        <v>29</v>
      </c>
    </row>
    <row r="1103" spans="1:10" x14ac:dyDescent="0.25">
      <c r="A1103" t="s">
        <v>30</v>
      </c>
      <c r="B1103" s="16" t="s">
        <v>21</v>
      </c>
      <c r="C1103" t="s">
        <v>21</v>
      </c>
      <c r="D1103" t="str">
        <f t="shared" si="22"/>
        <v>NEPTUNE-Scorpio-Scorpio</v>
      </c>
      <c r="E1103" s="17" t="s">
        <v>98</v>
      </c>
      <c r="F1103" s="18" t="s">
        <v>7</v>
      </c>
      <c r="G1103" s="19" t="s">
        <v>21</v>
      </c>
      <c r="H1103" s="20" t="s">
        <v>109</v>
      </c>
      <c r="I1103" s="18" t="s">
        <v>16</v>
      </c>
      <c r="J1103" t="s">
        <v>29</v>
      </c>
    </row>
    <row r="1104" spans="1:10" x14ac:dyDescent="0.25">
      <c r="A1104" t="s">
        <v>30</v>
      </c>
      <c r="B1104" s="16" t="s">
        <v>21</v>
      </c>
      <c r="C1104" t="s">
        <v>23</v>
      </c>
      <c r="D1104" t="str">
        <f t="shared" si="22"/>
        <v>NEPTUNE-Scorpio-Sagittarius</v>
      </c>
      <c r="E1104" s="17" t="s">
        <v>100</v>
      </c>
      <c r="F1104" s="18" t="s">
        <v>29</v>
      </c>
      <c r="G1104" s="19" t="s">
        <v>21</v>
      </c>
      <c r="H1104" s="20" t="s">
        <v>99</v>
      </c>
      <c r="I1104" s="18" t="s">
        <v>14</v>
      </c>
      <c r="J1104" t="s">
        <v>29</v>
      </c>
    </row>
    <row r="1105" spans="1:10" x14ac:dyDescent="0.25">
      <c r="A1105" t="s">
        <v>30</v>
      </c>
      <c r="B1105" s="16" t="s">
        <v>21</v>
      </c>
      <c r="C1105" t="s">
        <v>25</v>
      </c>
      <c r="D1105" t="str">
        <f t="shared" si="22"/>
        <v>NEPTUNE-Scorpio-Capricorn</v>
      </c>
      <c r="E1105" s="17" t="s">
        <v>102</v>
      </c>
      <c r="F1105" s="18" t="s">
        <v>27</v>
      </c>
      <c r="G1105" s="19" t="s">
        <v>21</v>
      </c>
      <c r="H1105" s="20" t="s">
        <v>101</v>
      </c>
      <c r="I1105" s="18" t="s">
        <v>12</v>
      </c>
      <c r="J1105" t="s">
        <v>29</v>
      </c>
    </row>
    <row r="1106" spans="1:10" x14ac:dyDescent="0.25">
      <c r="A1106" t="s">
        <v>30</v>
      </c>
      <c r="B1106" s="16" t="s">
        <v>21</v>
      </c>
      <c r="C1106" t="s">
        <v>27</v>
      </c>
      <c r="D1106" t="str">
        <f t="shared" si="22"/>
        <v>NEPTUNE-Scorpio-Aquarius</v>
      </c>
      <c r="E1106" s="17" t="s">
        <v>104</v>
      </c>
      <c r="F1106" s="18" t="s">
        <v>25</v>
      </c>
      <c r="G1106" s="19" t="s">
        <v>21</v>
      </c>
      <c r="H1106" s="20" t="s">
        <v>103</v>
      </c>
      <c r="I1106" s="18" t="s">
        <v>9</v>
      </c>
      <c r="J1106" t="s">
        <v>29</v>
      </c>
    </row>
    <row r="1107" spans="1:10" x14ac:dyDescent="0.25">
      <c r="A1107" t="s">
        <v>30</v>
      </c>
      <c r="B1107" s="16" t="s">
        <v>21</v>
      </c>
      <c r="C1107" t="s">
        <v>29</v>
      </c>
      <c r="D1107" t="str">
        <f t="shared" si="22"/>
        <v>NEPTUNE-Scorpio-Pisces</v>
      </c>
      <c r="E1107" s="17" t="s">
        <v>105</v>
      </c>
      <c r="F1107" s="18" t="s">
        <v>23</v>
      </c>
      <c r="G1107" s="19" t="s">
        <v>21</v>
      </c>
      <c r="H1107" s="20" t="s">
        <v>98</v>
      </c>
      <c r="I1107" s="18" t="s">
        <v>7</v>
      </c>
      <c r="J1107" t="s">
        <v>29</v>
      </c>
    </row>
    <row r="1108" spans="1:10" x14ac:dyDescent="0.25">
      <c r="A1108" t="s">
        <v>30</v>
      </c>
      <c r="B1108" s="16" t="s">
        <v>23</v>
      </c>
      <c r="C1108" t="s">
        <v>7</v>
      </c>
      <c r="D1108" t="str">
        <f t="shared" si="22"/>
        <v>NEPTUNE-Sagittarius-Aries</v>
      </c>
      <c r="E1108" s="17" t="s">
        <v>105</v>
      </c>
      <c r="F1108" s="18" t="s">
        <v>23</v>
      </c>
      <c r="G1108" s="19" t="s">
        <v>23</v>
      </c>
      <c r="H1108" s="20" t="s">
        <v>100</v>
      </c>
      <c r="I1108" s="18" t="s">
        <v>29</v>
      </c>
      <c r="J1108" t="s">
        <v>29</v>
      </c>
    </row>
    <row r="1109" spans="1:10" x14ac:dyDescent="0.25">
      <c r="A1109" t="s">
        <v>30</v>
      </c>
      <c r="B1109" s="16" t="s">
        <v>23</v>
      </c>
      <c r="C1109" t="s">
        <v>9</v>
      </c>
      <c r="D1109" t="str">
        <f t="shared" si="22"/>
        <v>NEPTUNE-Sagittarius-Taurus</v>
      </c>
      <c r="E1109" s="17" t="s">
        <v>106</v>
      </c>
      <c r="F1109" s="18" t="s">
        <v>21</v>
      </c>
      <c r="G1109" s="19" t="s">
        <v>23</v>
      </c>
      <c r="H1109" s="20" t="s">
        <v>102</v>
      </c>
      <c r="I1109" s="18" t="s">
        <v>27</v>
      </c>
      <c r="J1109" t="s">
        <v>29</v>
      </c>
    </row>
    <row r="1110" spans="1:10" x14ac:dyDescent="0.25">
      <c r="A1110" t="s">
        <v>30</v>
      </c>
      <c r="B1110" s="16" t="s">
        <v>23</v>
      </c>
      <c r="C1110" t="s">
        <v>12</v>
      </c>
      <c r="D1110" t="str">
        <f t="shared" si="22"/>
        <v>NEPTUNE-Sagittarius-Gemini</v>
      </c>
      <c r="E1110" s="17" t="s">
        <v>107</v>
      </c>
      <c r="F1110" s="18" t="s">
        <v>10</v>
      </c>
      <c r="G1110" s="19" t="s">
        <v>23</v>
      </c>
      <c r="H1110" s="20" t="s">
        <v>104</v>
      </c>
      <c r="I1110" s="18" t="s">
        <v>25</v>
      </c>
      <c r="J1110" t="s">
        <v>29</v>
      </c>
    </row>
    <row r="1111" spans="1:10" x14ac:dyDescent="0.25">
      <c r="A1111" t="s">
        <v>30</v>
      </c>
      <c r="B1111" s="16" t="s">
        <v>23</v>
      </c>
      <c r="C1111" t="s">
        <v>14</v>
      </c>
      <c r="D1111" t="str">
        <f t="shared" si="22"/>
        <v>NEPTUNE-Sagittarius-Cancer</v>
      </c>
      <c r="E1111" s="17" t="s">
        <v>108</v>
      </c>
      <c r="F1111" s="18" t="s">
        <v>18</v>
      </c>
      <c r="G1111" s="19" t="s">
        <v>23</v>
      </c>
      <c r="H1111" s="20" t="s">
        <v>105</v>
      </c>
      <c r="I1111" s="18" t="s">
        <v>23</v>
      </c>
      <c r="J1111" t="s">
        <v>29</v>
      </c>
    </row>
    <row r="1112" spans="1:10" x14ac:dyDescent="0.25">
      <c r="A1112" t="s">
        <v>30</v>
      </c>
      <c r="B1112" s="16" t="s">
        <v>23</v>
      </c>
      <c r="C1112" t="s">
        <v>16</v>
      </c>
      <c r="D1112" t="str">
        <f t="shared" si="22"/>
        <v>NEPTUNE-Sagittarius-Leo</v>
      </c>
      <c r="E1112" s="17" t="s">
        <v>109</v>
      </c>
      <c r="F1112" s="18" t="s">
        <v>16</v>
      </c>
      <c r="G1112" s="19" t="s">
        <v>23</v>
      </c>
      <c r="H1112" s="20" t="s">
        <v>106</v>
      </c>
      <c r="I1112" s="18" t="s">
        <v>21</v>
      </c>
      <c r="J1112" t="s">
        <v>29</v>
      </c>
    </row>
    <row r="1113" spans="1:10" x14ac:dyDescent="0.25">
      <c r="A1113" t="s">
        <v>30</v>
      </c>
      <c r="B1113" s="16" t="s">
        <v>23</v>
      </c>
      <c r="C1113" t="s">
        <v>18</v>
      </c>
      <c r="D1113" t="str">
        <f t="shared" si="22"/>
        <v>NEPTUNE-Sagittarius-Virgo</v>
      </c>
      <c r="E1113" s="17" t="s">
        <v>99</v>
      </c>
      <c r="F1113" s="18" t="s">
        <v>14</v>
      </c>
      <c r="G1113" s="19" t="s">
        <v>23</v>
      </c>
      <c r="H1113" s="20" t="s">
        <v>107</v>
      </c>
      <c r="I1113" s="18" t="s">
        <v>10</v>
      </c>
      <c r="J1113" t="s">
        <v>29</v>
      </c>
    </row>
    <row r="1114" spans="1:10" x14ac:dyDescent="0.25">
      <c r="A1114" t="s">
        <v>30</v>
      </c>
      <c r="B1114" s="16" t="s">
        <v>23</v>
      </c>
      <c r="C1114" t="s">
        <v>10</v>
      </c>
      <c r="D1114" t="str">
        <f t="shared" si="22"/>
        <v>NEPTUNE-Sagittarius-Libra</v>
      </c>
      <c r="E1114" s="17" t="s">
        <v>101</v>
      </c>
      <c r="F1114" s="18" t="s">
        <v>12</v>
      </c>
      <c r="G1114" s="19" t="s">
        <v>23</v>
      </c>
      <c r="H1114" s="20" t="s">
        <v>108</v>
      </c>
      <c r="I1114" s="18" t="s">
        <v>18</v>
      </c>
      <c r="J1114" t="s">
        <v>29</v>
      </c>
    </row>
    <row r="1115" spans="1:10" x14ac:dyDescent="0.25">
      <c r="A1115" t="s">
        <v>30</v>
      </c>
      <c r="B1115" s="16" t="s">
        <v>23</v>
      </c>
      <c r="C1115" t="s">
        <v>21</v>
      </c>
      <c r="D1115" t="str">
        <f t="shared" si="22"/>
        <v>NEPTUNE-Sagittarius-Scorpio</v>
      </c>
      <c r="E1115" s="17" t="s">
        <v>103</v>
      </c>
      <c r="F1115" s="18" t="s">
        <v>9</v>
      </c>
      <c r="G1115" s="19" t="s">
        <v>23</v>
      </c>
      <c r="H1115" s="20" t="s">
        <v>109</v>
      </c>
      <c r="I1115" s="18" t="s">
        <v>16</v>
      </c>
      <c r="J1115" t="s">
        <v>29</v>
      </c>
    </row>
    <row r="1116" spans="1:10" x14ac:dyDescent="0.25">
      <c r="A1116" t="s">
        <v>30</v>
      </c>
      <c r="B1116" s="16" t="s">
        <v>23</v>
      </c>
      <c r="C1116" t="s">
        <v>23</v>
      </c>
      <c r="D1116" t="str">
        <f t="shared" si="22"/>
        <v>NEPTUNE-Sagittarius-Sagittarius</v>
      </c>
      <c r="E1116" s="17" t="s">
        <v>98</v>
      </c>
      <c r="F1116" s="18" t="s">
        <v>7</v>
      </c>
      <c r="G1116" s="19" t="s">
        <v>23</v>
      </c>
      <c r="H1116" s="20" t="s">
        <v>99</v>
      </c>
      <c r="I1116" s="18" t="s">
        <v>14</v>
      </c>
      <c r="J1116" t="s">
        <v>29</v>
      </c>
    </row>
    <row r="1117" spans="1:10" x14ac:dyDescent="0.25">
      <c r="A1117" t="s">
        <v>30</v>
      </c>
      <c r="B1117" s="16" t="s">
        <v>23</v>
      </c>
      <c r="C1117" t="s">
        <v>25</v>
      </c>
      <c r="D1117" t="str">
        <f t="shared" si="22"/>
        <v>NEPTUNE-Sagittarius-Capricorn</v>
      </c>
      <c r="E1117" s="17" t="s">
        <v>100</v>
      </c>
      <c r="F1117" s="18" t="s">
        <v>29</v>
      </c>
      <c r="G1117" s="19" t="s">
        <v>23</v>
      </c>
      <c r="H1117" s="20" t="s">
        <v>101</v>
      </c>
      <c r="I1117" s="18" t="s">
        <v>12</v>
      </c>
      <c r="J1117" t="s">
        <v>29</v>
      </c>
    </row>
    <row r="1118" spans="1:10" x14ac:dyDescent="0.25">
      <c r="A1118" t="s">
        <v>30</v>
      </c>
      <c r="B1118" s="16" t="s">
        <v>23</v>
      </c>
      <c r="C1118" t="s">
        <v>27</v>
      </c>
      <c r="D1118" t="str">
        <f t="shared" si="22"/>
        <v>NEPTUNE-Sagittarius-Aquarius</v>
      </c>
      <c r="E1118" s="17" t="s">
        <v>102</v>
      </c>
      <c r="F1118" s="18" t="s">
        <v>27</v>
      </c>
      <c r="G1118" s="19" t="s">
        <v>23</v>
      </c>
      <c r="H1118" s="20" t="s">
        <v>103</v>
      </c>
      <c r="I1118" s="18" t="s">
        <v>9</v>
      </c>
      <c r="J1118" t="s">
        <v>29</v>
      </c>
    </row>
    <row r="1119" spans="1:10" x14ac:dyDescent="0.25">
      <c r="A1119" t="s">
        <v>30</v>
      </c>
      <c r="B1119" s="16" t="s">
        <v>23</v>
      </c>
      <c r="C1119" t="s">
        <v>29</v>
      </c>
      <c r="D1119" t="str">
        <f t="shared" si="22"/>
        <v>NEPTUNE-Sagittarius-Pisces</v>
      </c>
      <c r="E1119" s="17" t="s">
        <v>104</v>
      </c>
      <c r="F1119" s="18" t="s">
        <v>25</v>
      </c>
      <c r="G1119" s="19" t="s">
        <v>23</v>
      </c>
      <c r="H1119" s="20" t="s">
        <v>98</v>
      </c>
      <c r="I1119" s="18" t="s">
        <v>7</v>
      </c>
      <c r="J1119" t="s">
        <v>29</v>
      </c>
    </row>
    <row r="1120" spans="1:10" x14ac:dyDescent="0.25">
      <c r="A1120" t="s">
        <v>30</v>
      </c>
      <c r="B1120" s="16" t="s">
        <v>25</v>
      </c>
      <c r="C1120" t="s">
        <v>7</v>
      </c>
      <c r="D1120" t="str">
        <f t="shared" si="22"/>
        <v>NEPTUNE-Capricorn-Aries</v>
      </c>
      <c r="E1120" s="17" t="s">
        <v>104</v>
      </c>
      <c r="F1120" s="18" t="s">
        <v>25</v>
      </c>
      <c r="G1120" s="19" t="s">
        <v>25</v>
      </c>
      <c r="H1120" s="20" t="s">
        <v>100</v>
      </c>
      <c r="I1120" s="18" t="s">
        <v>29</v>
      </c>
      <c r="J1120" t="s">
        <v>29</v>
      </c>
    </row>
    <row r="1121" spans="1:10" x14ac:dyDescent="0.25">
      <c r="A1121" t="s">
        <v>30</v>
      </c>
      <c r="B1121" s="16" t="s">
        <v>25</v>
      </c>
      <c r="C1121" t="s">
        <v>9</v>
      </c>
      <c r="D1121" t="str">
        <f t="shared" si="22"/>
        <v>NEPTUNE-Capricorn-Taurus</v>
      </c>
      <c r="E1121" s="17" t="s">
        <v>105</v>
      </c>
      <c r="F1121" s="18" t="s">
        <v>23</v>
      </c>
      <c r="G1121" s="19" t="s">
        <v>25</v>
      </c>
      <c r="H1121" s="20" t="s">
        <v>102</v>
      </c>
      <c r="I1121" s="18" t="s">
        <v>27</v>
      </c>
      <c r="J1121" t="s">
        <v>29</v>
      </c>
    </row>
    <row r="1122" spans="1:10" x14ac:dyDescent="0.25">
      <c r="A1122" t="s">
        <v>30</v>
      </c>
      <c r="B1122" s="16" t="s">
        <v>25</v>
      </c>
      <c r="C1122" t="s">
        <v>12</v>
      </c>
      <c r="D1122" t="str">
        <f t="shared" si="22"/>
        <v>NEPTUNE-Capricorn-Gemini</v>
      </c>
      <c r="E1122" s="17" t="s">
        <v>106</v>
      </c>
      <c r="F1122" s="18" t="s">
        <v>21</v>
      </c>
      <c r="G1122" s="19" t="s">
        <v>25</v>
      </c>
      <c r="H1122" s="20" t="s">
        <v>104</v>
      </c>
      <c r="I1122" s="18" t="s">
        <v>25</v>
      </c>
      <c r="J1122" t="s">
        <v>29</v>
      </c>
    </row>
    <row r="1123" spans="1:10" x14ac:dyDescent="0.25">
      <c r="A1123" t="s">
        <v>30</v>
      </c>
      <c r="B1123" s="16" t="s">
        <v>25</v>
      </c>
      <c r="C1123" t="s">
        <v>14</v>
      </c>
      <c r="D1123" t="str">
        <f t="shared" si="22"/>
        <v>NEPTUNE-Capricorn-Cancer</v>
      </c>
      <c r="E1123" s="17" t="s">
        <v>107</v>
      </c>
      <c r="F1123" s="18" t="s">
        <v>10</v>
      </c>
      <c r="G1123" s="19" t="s">
        <v>25</v>
      </c>
      <c r="H1123" s="20" t="s">
        <v>105</v>
      </c>
      <c r="I1123" s="18" t="s">
        <v>23</v>
      </c>
      <c r="J1123" t="s">
        <v>29</v>
      </c>
    </row>
    <row r="1124" spans="1:10" x14ac:dyDescent="0.25">
      <c r="A1124" t="s">
        <v>30</v>
      </c>
      <c r="B1124" s="16" t="s">
        <v>25</v>
      </c>
      <c r="C1124" t="s">
        <v>16</v>
      </c>
      <c r="D1124" t="str">
        <f t="shared" si="22"/>
        <v>NEPTUNE-Capricorn-Leo</v>
      </c>
      <c r="E1124" s="17" t="s">
        <v>108</v>
      </c>
      <c r="F1124" s="18" t="s">
        <v>18</v>
      </c>
      <c r="G1124" s="19" t="s">
        <v>25</v>
      </c>
      <c r="H1124" s="20" t="s">
        <v>106</v>
      </c>
      <c r="I1124" s="18" t="s">
        <v>21</v>
      </c>
      <c r="J1124" t="s">
        <v>29</v>
      </c>
    </row>
    <row r="1125" spans="1:10" x14ac:dyDescent="0.25">
      <c r="A1125" t="s">
        <v>30</v>
      </c>
      <c r="B1125" s="16" t="s">
        <v>25</v>
      </c>
      <c r="C1125" t="s">
        <v>18</v>
      </c>
      <c r="D1125" t="str">
        <f t="shared" si="22"/>
        <v>NEPTUNE-Capricorn-Virgo</v>
      </c>
      <c r="E1125" s="17" t="s">
        <v>109</v>
      </c>
      <c r="F1125" s="18" t="s">
        <v>16</v>
      </c>
      <c r="G1125" s="19" t="s">
        <v>25</v>
      </c>
      <c r="H1125" s="20" t="s">
        <v>107</v>
      </c>
      <c r="I1125" s="18" t="s">
        <v>10</v>
      </c>
      <c r="J1125" t="s">
        <v>29</v>
      </c>
    </row>
    <row r="1126" spans="1:10" x14ac:dyDescent="0.25">
      <c r="A1126" t="s">
        <v>30</v>
      </c>
      <c r="B1126" s="16" t="s">
        <v>25</v>
      </c>
      <c r="C1126" t="s">
        <v>10</v>
      </c>
      <c r="D1126" t="str">
        <f t="shared" si="22"/>
        <v>NEPTUNE-Capricorn-Libra</v>
      </c>
      <c r="E1126" s="17" t="s">
        <v>99</v>
      </c>
      <c r="F1126" s="18" t="s">
        <v>14</v>
      </c>
      <c r="G1126" s="19" t="s">
        <v>25</v>
      </c>
      <c r="H1126" s="20" t="s">
        <v>108</v>
      </c>
      <c r="I1126" s="18" t="s">
        <v>18</v>
      </c>
      <c r="J1126" t="s">
        <v>29</v>
      </c>
    </row>
    <row r="1127" spans="1:10" x14ac:dyDescent="0.25">
      <c r="A1127" t="s">
        <v>30</v>
      </c>
      <c r="B1127" s="16" t="s">
        <v>25</v>
      </c>
      <c r="C1127" t="s">
        <v>21</v>
      </c>
      <c r="D1127" t="str">
        <f t="shared" si="22"/>
        <v>NEPTUNE-Capricorn-Scorpio</v>
      </c>
      <c r="E1127" s="17" t="s">
        <v>101</v>
      </c>
      <c r="F1127" s="18" t="s">
        <v>12</v>
      </c>
      <c r="G1127" s="19" t="s">
        <v>25</v>
      </c>
      <c r="H1127" s="20" t="s">
        <v>109</v>
      </c>
      <c r="I1127" s="18" t="s">
        <v>16</v>
      </c>
      <c r="J1127" t="s">
        <v>29</v>
      </c>
    </row>
    <row r="1128" spans="1:10" x14ac:dyDescent="0.25">
      <c r="A1128" t="s">
        <v>30</v>
      </c>
      <c r="B1128" s="16" t="s">
        <v>25</v>
      </c>
      <c r="C1128" t="s">
        <v>23</v>
      </c>
      <c r="D1128" t="str">
        <f t="shared" si="22"/>
        <v>NEPTUNE-Capricorn-Sagittarius</v>
      </c>
      <c r="E1128" s="17" t="s">
        <v>103</v>
      </c>
      <c r="F1128" s="18" t="s">
        <v>9</v>
      </c>
      <c r="G1128" s="19" t="s">
        <v>25</v>
      </c>
      <c r="H1128" s="20" t="s">
        <v>99</v>
      </c>
      <c r="I1128" s="18" t="s">
        <v>14</v>
      </c>
      <c r="J1128" t="s">
        <v>29</v>
      </c>
    </row>
    <row r="1129" spans="1:10" x14ac:dyDescent="0.25">
      <c r="A1129" t="s">
        <v>30</v>
      </c>
      <c r="B1129" s="16" t="s">
        <v>25</v>
      </c>
      <c r="C1129" t="s">
        <v>25</v>
      </c>
      <c r="D1129" t="str">
        <f t="shared" si="22"/>
        <v>NEPTUNE-Capricorn-Capricorn</v>
      </c>
      <c r="E1129" s="17" t="s">
        <v>98</v>
      </c>
      <c r="F1129" s="18" t="s">
        <v>7</v>
      </c>
      <c r="G1129" s="19" t="s">
        <v>25</v>
      </c>
      <c r="H1129" s="20" t="s">
        <v>101</v>
      </c>
      <c r="I1129" s="18" t="s">
        <v>12</v>
      </c>
      <c r="J1129" t="s">
        <v>29</v>
      </c>
    </row>
    <row r="1130" spans="1:10" x14ac:dyDescent="0.25">
      <c r="A1130" t="s">
        <v>30</v>
      </c>
      <c r="B1130" s="16" t="s">
        <v>25</v>
      </c>
      <c r="C1130" t="s">
        <v>27</v>
      </c>
      <c r="D1130" t="str">
        <f t="shared" si="22"/>
        <v>NEPTUNE-Capricorn-Aquarius</v>
      </c>
      <c r="E1130" s="17" t="s">
        <v>100</v>
      </c>
      <c r="F1130" s="18" t="s">
        <v>29</v>
      </c>
      <c r="G1130" s="19" t="s">
        <v>25</v>
      </c>
      <c r="H1130" s="20" t="s">
        <v>103</v>
      </c>
      <c r="I1130" s="18" t="s">
        <v>9</v>
      </c>
      <c r="J1130" t="s">
        <v>29</v>
      </c>
    </row>
    <row r="1131" spans="1:10" x14ac:dyDescent="0.25">
      <c r="A1131" t="s">
        <v>30</v>
      </c>
      <c r="B1131" s="16" t="s">
        <v>25</v>
      </c>
      <c r="C1131" t="s">
        <v>29</v>
      </c>
      <c r="D1131" t="str">
        <f t="shared" si="22"/>
        <v>NEPTUNE-Capricorn-Pisces</v>
      </c>
      <c r="E1131" s="17" t="s">
        <v>102</v>
      </c>
      <c r="F1131" s="18" t="s">
        <v>27</v>
      </c>
      <c r="G1131" s="19" t="s">
        <v>25</v>
      </c>
      <c r="H1131" s="20" t="s">
        <v>98</v>
      </c>
      <c r="I1131" s="18" t="s">
        <v>7</v>
      </c>
      <c r="J1131" t="s">
        <v>29</v>
      </c>
    </row>
    <row r="1132" spans="1:10" x14ac:dyDescent="0.25">
      <c r="A1132" t="s">
        <v>30</v>
      </c>
      <c r="B1132" s="16" t="s">
        <v>27</v>
      </c>
      <c r="C1132" t="s">
        <v>7</v>
      </c>
      <c r="D1132" t="str">
        <f t="shared" si="22"/>
        <v>NEPTUNE-Aquarius-Aries</v>
      </c>
      <c r="E1132" s="17" t="s">
        <v>102</v>
      </c>
      <c r="F1132" s="18" t="s">
        <v>27</v>
      </c>
      <c r="G1132" s="19" t="s">
        <v>27</v>
      </c>
      <c r="H1132" s="20" t="s">
        <v>100</v>
      </c>
      <c r="I1132" s="18" t="s">
        <v>29</v>
      </c>
      <c r="J1132" t="s">
        <v>29</v>
      </c>
    </row>
    <row r="1133" spans="1:10" x14ac:dyDescent="0.25">
      <c r="A1133" t="s">
        <v>30</v>
      </c>
      <c r="B1133" s="16" t="s">
        <v>27</v>
      </c>
      <c r="C1133" t="s">
        <v>9</v>
      </c>
      <c r="D1133" t="str">
        <f t="shared" si="22"/>
        <v>NEPTUNE-Aquarius-Taurus</v>
      </c>
      <c r="E1133" s="17" t="s">
        <v>104</v>
      </c>
      <c r="F1133" s="18" t="s">
        <v>25</v>
      </c>
      <c r="G1133" s="19" t="s">
        <v>27</v>
      </c>
      <c r="H1133" s="20" t="s">
        <v>102</v>
      </c>
      <c r="I1133" s="18" t="s">
        <v>27</v>
      </c>
      <c r="J1133" t="s">
        <v>29</v>
      </c>
    </row>
    <row r="1134" spans="1:10" x14ac:dyDescent="0.25">
      <c r="A1134" t="s">
        <v>30</v>
      </c>
      <c r="B1134" s="16" t="s">
        <v>27</v>
      </c>
      <c r="C1134" t="s">
        <v>12</v>
      </c>
      <c r="D1134" t="str">
        <f t="shared" si="22"/>
        <v>NEPTUNE-Aquarius-Gemini</v>
      </c>
      <c r="E1134" s="17" t="s">
        <v>105</v>
      </c>
      <c r="F1134" s="18" t="s">
        <v>23</v>
      </c>
      <c r="G1134" s="19" t="s">
        <v>27</v>
      </c>
      <c r="H1134" s="20" t="s">
        <v>104</v>
      </c>
      <c r="I1134" s="18" t="s">
        <v>25</v>
      </c>
      <c r="J1134" t="s">
        <v>29</v>
      </c>
    </row>
    <row r="1135" spans="1:10" x14ac:dyDescent="0.25">
      <c r="A1135" t="s">
        <v>30</v>
      </c>
      <c r="B1135" s="16" t="s">
        <v>27</v>
      </c>
      <c r="C1135" t="s">
        <v>14</v>
      </c>
      <c r="D1135" t="str">
        <f t="shared" si="22"/>
        <v>NEPTUNE-Aquarius-Cancer</v>
      </c>
      <c r="E1135" s="17" t="s">
        <v>106</v>
      </c>
      <c r="F1135" s="18" t="s">
        <v>21</v>
      </c>
      <c r="G1135" s="19" t="s">
        <v>27</v>
      </c>
      <c r="H1135" s="20" t="s">
        <v>105</v>
      </c>
      <c r="I1135" s="18" t="s">
        <v>23</v>
      </c>
      <c r="J1135" t="s">
        <v>29</v>
      </c>
    </row>
    <row r="1136" spans="1:10" x14ac:dyDescent="0.25">
      <c r="A1136" t="s">
        <v>30</v>
      </c>
      <c r="B1136" s="16" t="s">
        <v>27</v>
      </c>
      <c r="C1136" t="s">
        <v>16</v>
      </c>
      <c r="D1136" t="str">
        <f t="shared" si="22"/>
        <v>NEPTUNE-Aquarius-Leo</v>
      </c>
      <c r="E1136" s="17" t="s">
        <v>107</v>
      </c>
      <c r="F1136" s="18" t="s">
        <v>10</v>
      </c>
      <c r="G1136" s="19" t="s">
        <v>27</v>
      </c>
      <c r="H1136" s="20" t="s">
        <v>106</v>
      </c>
      <c r="I1136" s="18" t="s">
        <v>21</v>
      </c>
      <c r="J1136" t="s">
        <v>29</v>
      </c>
    </row>
    <row r="1137" spans="1:10" x14ac:dyDescent="0.25">
      <c r="A1137" t="s">
        <v>30</v>
      </c>
      <c r="B1137" s="16" t="s">
        <v>27</v>
      </c>
      <c r="C1137" t="s">
        <v>18</v>
      </c>
      <c r="D1137" t="str">
        <f t="shared" si="22"/>
        <v>NEPTUNE-Aquarius-Virgo</v>
      </c>
      <c r="E1137" s="17" t="s">
        <v>108</v>
      </c>
      <c r="F1137" s="18" t="s">
        <v>18</v>
      </c>
      <c r="G1137" s="19" t="s">
        <v>27</v>
      </c>
      <c r="H1137" s="20" t="s">
        <v>107</v>
      </c>
      <c r="I1137" s="18" t="s">
        <v>10</v>
      </c>
      <c r="J1137" t="s">
        <v>29</v>
      </c>
    </row>
    <row r="1138" spans="1:10" x14ac:dyDescent="0.25">
      <c r="A1138" t="s">
        <v>30</v>
      </c>
      <c r="B1138" s="16" t="s">
        <v>27</v>
      </c>
      <c r="C1138" t="s">
        <v>10</v>
      </c>
      <c r="D1138" t="str">
        <f t="shared" si="22"/>
        <v>NEPTUNE-Aquarius-Libra</v>
      </c>
      <c r="E1138" s="17" t="s">
        <v>109</v>
      </c>
      <c r="F1138" s="18" t="s">
        <v>16</v>
      </c>
      <c r="G1138" s="19" t="s">
        <v>27</v>
      </c>
      <c r="H1138" s="20" t="s">
        <v>108</v>
      </c>
      <c r="I1138" s="18" t="s">
        <v>18</v>
      </c>
      <c r="J1138" t="s">
        <v>29</v>
      </c>
    </row>
    <row r="1139" spans="1:10" x14ac:dyDescent="0.25">
      <c r="A1139" t="s">
        <v>30</v>
      </c>
      <c r="B1139" s="16" t="s">
        <v>27</v>
      </c>
      <c r="C1139" t="s">
        <v>21</v>
      </c>
      <c r="D1139" t="str">
        <f t="shared" si="22"/>
        <v>NEPTUNE-Aquarius-Scorpio</v>
      </c>
      <c r="E1139" s="17" t="s">
        <v>99</v>
      </c>
      <c r="F1139" s="18" t="s">
        <v>14</v>
      </c>
      <c r="G1139" s="19" t="s">
        <v>27</v>
      </c>
      <c r="H1139" s="20" t="s">
        <v>109</v>
      </c>
      <c r="I1139" s="18" t="s">
        <v>16</v>
      </c>
      <c r="J1139" t="s">
        <v>29</v>
      </c>
    </row>
    <row r="1140" spans="1:10" x14ac:dyDescent="0.25">
      <c r="A1140" t="s">
        <v>30</v>
      </c>
      <c r="B1140" s="16" t="s">
        <v>27</v>
      </c>
      <c r="C1140" t="s">
        <v>23</v>
      </c>
      <c r="D1140" t="str">
        <f t="shared" si="22"/>
        <v>NEPTUNE-Aquarius-Sagittarius</v>
      </c>
      <c r="E1140" s="17" t="s">
        <v>101</v>
      </c>
      <c r="F1140" s="18" t="s">
        <v>12</v>
      </c>
      <c r="G1140" s="19" t="s">
        <v>27</v>
      </c>
      <c r="H1140" s="20" t="s">
        <v>99</v>
      </c>
      <c r="I1140" s="18" t="s">
        <v>14</v>
      </c>
      <c r="J1140" t="s">
        <v>29</v>
      </c>
    </row>
    <row r="1141" spans="1:10" x14ac:dyDescent="0.25">
      <c r="A1141" t="s">
        <v>30</v>
      </c>
      <c r="B1141" s="16" t="s">
        <v>27</v>
      </c>
      <c r="C1141" t="s">
        <v>25</v>
      </c>
      <c r="D1141" t="str">
        <f t="shared" ref="D1141:D1155" si="23">A1141&amp;"-"&amp;B1141&amp;"-"&amp;C1141</f>
        <v>NEPTUNE-Aquarius-Capricorn</v>
      </c>
      <c r="E1141" s="17" t="s">
        <v>103</v>
      </c>
      <c r="F1141" s="18" t="s">
        <v>9</v>
      </c>
      <c r="G1141" s="19" t="s">
        <v>27</v>
      </c>
      <c r="H1141" s="20" t="s">
        <v>101</v>
      </c>
      <c r="I1141" s="18" t="s">
        <v>12</v>
      </c>
      <c r="J1141" t="s">
        <v>29</v>
      </c>
    </row>
    <row r="1142" spans="1:10" x14ac:dyDescent="0.25">
      <c r="A1142" t="s">
        <v>30</v>
      </c>
      <c r="B1142" s="16" t="s">
        <v>27</v>
      </c>
      <c r="C1142" t="s">
        <v>27</v>
      </c>
      <c r="D1142" t="str">
        <f t="shared" si="23"/>
        <v>NEPTUNE-Aquarius-Aquarius</v>
      </c>
      <c r="E1142" s="17" t="s">
        <v>98</v>
      </c>
      <c r="F1142" s="18" t="s">
        <v>7</v>
      </c>
      <c r="G1142" s="19" t="s">
        <v>27</v>
      </c>
      <c r="H1142" s="20" t="s">
        <v>103</v>
      </c>
      <c r="I1142" s="18" t="s">
        <v>9</v>
      </c>
      <c r="J1142" t="s">
        <v>29</v>
      </c>
    </row>
    <row r="1143" spans="1:10" x14ac:dyDescent="0.25">
      <c r="A1143" t="s">
        <v>30</v>
      </c>
      <c r="B1143" s="16" t="s">
        <v>27</v>
      </c>
      <c r="C1143" t="s">
        <v>29</v>
      </c>
      <c r="D1143" t="str">
        <f t="shared" si="23"/>
        <v>NEPTUNE-Aquarius-Pisces</v>
      </c>
      <c r="E1143" s="17" t="s">
        <v>100</v>
      </c>
      <c r="F1143" s="18" t="s">
        <v>29</v>
      </c>
      <c r="G1143" s="19" t="s">
        <v>27</v>
      </c>
      <c r="H1143" s="20" t="s">
        <v>98</v>
      </c>
      <c r="I1143" s="18" t="s">
        <v>7</v>
      </c>
      <c r="J1143" t="s">
        <v>29</v>
      </c>
    </row>
    <row r="1144" spans="1:10" x14ac:dyDescent="0.25">
      <c r="A1144" t="s">
        <v>30</v>
      </c>
      <c r="B1144" s="16" t="s">
        <v>29</v>
      </c>
      <c r="C1144" t="s">
        <v>7</v>
      </c>
      <c r="D1144" t="str">
        <f t="shared" si="23"/>
        <v>NEPTUNE-Pisces-Aries</v>
      </c>
      <c r="E1144" s="17" t="s">
        <v>100</v>
      </c>
      <c r="F1144" s="18" t="s">
        <v>29</v>
      </c>
      <c r="G1144" s="19" t="s">
        <v>29</v>
      </c>
      <c r="H1144" s="20" t="s">
        <v>100</v>
      </c>
      <c r="I1144" s="18" t="s">
        <v>29</v>
      </c>
      <c r="J1144" t="s">
        <v>29</v>
      </c>
    </row>
    <row r="1145" spans="1:10" x14ac:dyDescent="0.25">
      <c r="A1145" t="s">
        <v>30</v>
      </c>
      <c r="B1145" s="16" t="s">
        <v>29</v>
      </c>
      <c r="C1145" t="s">
        <v>9</v>
      </c>
      <c r="D1145" t="str">
        <f t="shared" si="23"/>
        <v>NEPTUNE-Pisces-Taurus</v>
      </c>
      <c r="E1145" s="17" t="s">
        <v>102</v>
      </c>
      <c r="F1145" s="18" t="s">
        <v>27</v>
      </c>
      <c r="G1145" s="19" t="s">
        <v>29</v>
      </c>
      <c r="H1145" s="20" t="s">
        <v>102</v>
      </c>
      <c r="I1145" s="18" t="s">
        <v>27</v>
      </c>
      <c r="J1145" t="s">
        <v>29</v>
      </c>
    </row>
    <row r="1146" spans="1:10" x14ac:dyDescent="0.25">
      <c r="A1146" t="s">
        <v>30</v>
      </c>
      <c r="B1146" s="16" t="s">
        <v>29</v>
      </c>
      <c r="C1146" t="s">
        <v>12</v>
      </c>
      <c r="D1146" t="str">
        <f t="shared" si="23"/>
        <v>NEPTUNE-Pisces-Gemini</v>
      </c>
      <c r="E1146" s="17" t="s">
        <v>104</v>
      </c>
      <c r="F1146" s="18" t="s">
        <v>25</v>
      </c>
      <c r="G1146" s="19" t="s">
        <v>29</v>
      </c>
      <c r="H1146" s="20" t="s">
        <v>104</v>
      </c>
      <c r="I1146" s="18" t="s">
        <v>25</v>
      </c>
      <c r="J1146" t="s">
        <v>29</v>
      </c>
    </row>
    <row r="1147" spans="1:10" x14ac:dyDescent="0.25">
      <c r="A1147" t="s">
        <v>30</v>
      </c>
      <c r="B1147" s="16" t="s">
        <v>29</v>
      </c>
      <c r="C1147" t="s">
        <v>14</v>
      </c>
      <c r="D1147" t="str">
        <f t="shared" si="23"/>
        <v>NEPTUNE-Pisces-Cancer</v>
      </c>
      <c r="E1147" s="17" t="s">
        <v>105</v>
      </c>
      <c r="F1147" s="18" t="s">
        <v>23</v>
      </c>
      <c r="G1147" s="19" t="s">
        <v>29</v>
      </c>
      <c r="H1147" s="20" t="s">
        <v>105</v>
      </c>
      <c r="I1147" s="18" t="s">
        <v>23</v>
      </c>
      <c r="J1147" t="s">
        <v>29</v>
      </c>
    </row>
    <row r="1148" spans="1:10" x14ac:dyDescent="0.25">
      <c r="A1148" t="s">
        <v>30</v>
      </c>
      <c r="B1148" s="16" t="s">
        <v>29</v>
      </c>
      <c r="C1148" t="s">
        <v>16</v>
      </c>
      <c r="D1148" t="str">
        <f t="shared" si="23"/>
        <v>NEPTUNE-Pisces-Leo</v>
      </c>
      <c r="E1148" s="17" t="s">
        <v>106</v>
      </c>
      <c r="F1148" s="18" t="s">
        <v>21</v>
      </c>
      <c r="G1148" s="19" t="s">
        <v>29</v>
      </c>
      <c r="H1148" s="20" t="s">
        <v>106</v>
      </c>
      <c r="I1148" s="18" t="s">
        <v>21</v>
      </c>
      <c r="J1148" t="s">
        <v>29</v>
      </c>
    </row>
    <row r="1149" spans="1:10" x14ac:dyDescent="0.25">
      <c r="A1149" t="s">
        <v>30</v>
      </c>
      <c r="B1149" s="16" t="s">
        <v>29</v>
      </c>
      <c r="C1149" t="s">
        <v>18</v>
      </c>
      <c r="D1149" t="str">
        <f t="shared" si="23"/>
        <v>NEPTUNE-Pisces-Virgo</v>
      </c>
      <c r="E1149" s="17" t="s">
        <v>107</v>
      </c>
      <c r="F1149" s="18" t="s">
        <v>10</v>
      </c>
      <c r="G1149" s="19" t="s">
        <v>29</v>
      </c>
      <c r="H1149" s="20" t="s">
        <v>107</v>
      </c>
      <c r="I1149" s="18" t="s">
        <v>10</v>
      </c>
      <c r="J1149" t="s">
        <v>29</v>
      </c>
    </row>
    <row r="1150" spans="1:10" x14ac:dyDescent="0.25">
      <c r="A1150" t="s">
        <v>30</v>
      </c>
      <c r="B1150" s="16" t="s">
        <v>29</v>
      </c>
      <c r="C1150" t="s">
        <v>10</v>
      </c>
      <c r="D1150" t="str">
        <f t="shared" si="23"/>
        <v>NEPTUNE-Pisces-Libra</v>
      </c>
      <c r="E1150" s="17" t="s">
        <v>108</v>
      </c>
      <c r="F1150" s="18" t="s">
        <v>18</v>
      </c>
      <c r="G1150" s="19" t="s">
        <v>29</v>
      </c>
      <c r="H1150" s="20" t="s">
        <v>108</v>
      </c>
      <c r="I1150" s="18" t="s">
        <v>18</v>
      </c>
      <c r="J1150" t="s">
        <v>29</v>
      </c>
    </row>
    <row r="1151" spans="1:10" x14ac:dyDescent="0.25">
      <c r="A1151" t="s">
        <v>30</v>
      </c>
      <c r="B1151" s="16" t="s">
        <v>29</v>
      </c>
      <c r="C1151" t="s">
        <v>21</v>
      </c>
      <c r="D1151" t="str">
        <f t="shared" si="23"/>
        <v>NEPTUNE-Pisces-Scorpio</v>
      </c>
      <c r="E1151" s="17" t="s">
        <v>109</v>
      </c>
      <c r="F1151" s="18" t="s">
        <v>16</v>
      </c>
      <c r="G1151" s="19" t="s">
        <v>29</v>
      </c>
      <c r="H1151" s="20" t="s">
        <v>109</v>
      </c>
      <c r="I1151" s="18" t="s">
        <v>16</v>
      </c>
      <c r="J1151" t="s">
        <v>29</v>
      </c>
    </row>
    <row r="1152" spans="1:10" x14ac:dyDescent="0.25">
      <c r="A1152" t="s">
        <v>30</v>
      </c>
      <c r="B1152" s="16" t="s">
        <v>29</v>
      </c>
      <c r="C1152" t="s">
        <v>23</v>
      </c>
      <c r="D1152" t="str">
        <f t="shared" si="23"/>
        <v>NEPTUNE-Pisces-Sagittarius</v>
      </c>
      <c r="E1152" s="17" t="s">
        <v>99</v>
      </c>
      <c r="F1152" s="18" t="s">
        <v>14</v>
      </c>
      <c r="G1152" s="19" t="s">
        <v>29</v>
      </c>
      <c r="H1152" s="20" t="s">
        <v>99</v>
      </c>
      <c r="I1152" s="18" t="s">
        <v>14</v>
      </c>
      <c r="J1152" t="s">
        <v>29</v>
      </c>
    </row>
    <row r="1153" spans="1:13" x14ac:dyDescent="0.25">
      <c r="A1153" t="s">
        <v>30</v>
      </c>
      <c r="B1153" s="16" t="s">
        <v>29</v>
      </c>
      <c r="C1153" t="s">
        <v>25</v>
      </c>
      <c r="D1153" t="str">
        <f t="shared" si="23"/>
        <v>NEPTUNE-Pisces-Capricorn</v>
      </c>
      <c r="E1153" s="17" t="s">
        <v>101</v>
      </c>
      <c r="F1153" s="18" t="s">
        <v>12</v>
      </c>
      <c r="G1153" s="19" t="s">
        <v>29</v>
      </c>
      <c r="H1153" s="20" t="s">
        <v>101</v>
      </c>
      <c r="I1153" s="18" t="s">
        <v>12</v>
      </c>
      <c r="J1153" t="s">
        <v>29</v>
      </c>
    </row>
    <row r="1154" spans="1:13" x14ac:dyDescent="0.25">
      <c r="A1154" t="s">
        <v>30</v>
      </c>
      <c r="B1154" s="16" t="s">
        <v>29</v>
      </c>
      <c r="C1154" t="s">
        <v>27</v>
      </c>
      <c r="D1154" t="str">
        <f t="shared" si="23"/>
        <v>NEPTUNE-Pisces-Aquarius</v>
      </c>
      <c r="E1154" s="17" t="s">
        <v>103</v>
      </c>
      <c r="F1154" s="18" t="s">
        <v>9</v>
      </c>
      <c r="G1154" s="19" t="s">
        <v>29</v>
      </c>
      <c r="H1154" s="20" t="s">
        <v>103</v>
      </c>
      <c r="I1154" s="18" t="s">
        <v>9</v>
      </c>
      <c r="J1154" t="s">
        <v>29</v>
      </c>
    </row>
    <row r="1155" spans="1:13" x14ac:dyDescent="0.25">
      <c r="A1155" t="s">
        <v>30</v>
      </c>
      <c r="B1155" s="16" t="s">
        <v>29</v>
      </c>
      <c r="C1155" t="s">
        <v>29</v>
      </c>
      <c r="D1155" t="str">
        <f t="shared" si="23"/>
        <v>NEPTUNE-Pisces-Pisces</v>
      </c>
      <c r="E1155" s="17" t="s">
        <v>98</v>
      </c>
      <c r="F1155" s="18" t="s">
        <v>7</v>
      </c>
      <c r="G1155" s="19" t="s">
        <v>29</v>
      </c>
      <c r="H1155" s="20" t="s">
        <v>98</v>
      </c>
      <c r="I1155" s="18" t="s">
        <v>7</v>
      </c>
      <c r="J1155" t="s">
        <v>29</v>
      </c>
    </row>
    <row r="1156" spans="1:13" x14ac:dyDescent="0.25">
      <c r="A1156" t="s">
        <v>127</v>
      </c>
      <c r="B1156" s="16" t="s">
        <v>7</v>
      </c>
      <c r="C1156" t="s">
        <v>7</v>
      </c>
      <c r="D1156" t="str">
        <f t="shared" ref="D1156:D1187" si="24">A1156&amp;"-"&amp;B1156&amp;"-"&amp;C1156</f>
        <v>VENUS-Aries-Aries</v>
      </c>
      <c r="E1156" s="17" t="s">
        <v>98</v>
      </c>
      <c r="F1156" s="18" t="s">
        <v>7</v>
      </c>
      <c r="G1156" s="19" t="s">
        <v>7</v>
      </c>
      <c r="H1156" s="20" t="s">
        <v>103</v>
      </c>
      <c r="I1156" s="18" t="s">
        <v>9</v>
      </c>
      <c r="J1156" t="s">
        <v>9</v>
      </c>
      <c r="K1156" s="17" t="s">
        <v>107</v>
      </c>
      <c r="L1156" s="22" t="s">
        <v>10</v>
      </c>
      <c r="M1156" t="s">
        <v>10</v>
      </c>
    </row>
    <row r="1157" spans="1:13" x14ac:dyDescent="0.25">
      <c r="A1157" t="s">
        <v>127</v>
      </c>
      <c r="B1157" s="16" t="s">
        <v>7</v>
      </c>
      <c r="C1157" t="s">
        <v>9</v>
      </c>
      <c r="D1157" t="str">
        <f t="shared" si="24"/>
        <v>VENUS-Aries-Taurus</v>
      </c>
      <c r="E1157" s="17" t="s">
        <v>100</v>
      </c>
      <c r="F1157" s="18" t="s">
        <v>29</v>
      </c>
      <c r="G1157" s="19" t="s">
        <v>7</v>
      </c>
      <c r="H1157" s="20" t="s">
        <v>98</v>
      </c>
      <c r="I1157" s="18" t="s">
        <v>7</v>
      </c>
      <c r="J1157" t="s">
        <v>9</v>
      </c>
      <c r="K1157" s="17" t="s">
        <v>108</v>
      </c>
      <c r="L1157" s="22" t="s">
        <v>18</v>
      </c>
      <c r="M1157" t="s">
        <v>10</v>
      </c>
    </row>
    <row r="1158" spans="1:13" x14ac:dyDescent="0.25">
      <c r="A1158" t="s">
        <v>127</v>
      </c>
      <c r="B1158" s="16" t="s">
        <v>7</v>
      </c>
      <c r="C1158" t="s">
        <v>12</v>
      </c>
      <c r="D1158" t="str">
        <f t="shared" si="24"/>
        <v>VENUS-Aries-Gemini</v>
      </c>
      <c r="E1158" s="17" t="s">
        <v>102</v>
      </c>
      <c r="F1158" s="18" t="s">
        <v>27</v>
      </c>
      <c r="G1158" s="19" t="s">
        <v>7</v>
      </c>
      <c r="H1158" s="20" t="s">
        <v>100</v>
      </c>
      <c r="I1158" s="18" t="s">
        <v>29</v>
      </c>
      <c r="J1158" t="s">
        <v>9</v>
      </c>
      <c r="K1158" s="17" t="s">
        <v>109</v>
      </c>
      <c r="L1158" s="22" t="s">
        <v>16</v>
      </c>
      <c r="M1158" t="s">
        <v>10</v>
      </c>
    </row>
    <row r="1159" spans="1:13" x14ac:dyDescent="0.25">
      <c r="A1159" t="s">
        <v>127</v>
      </c>
      <c r="B1159" s="16" t="s">
        <v>7</v>
      </c>
      <c r="C1159" t="s">
        <v>14</v>
      </c>
      <c r="D1159" t="str">
        <f t="shared" si="24"/>
        <v>VENUS-Aries-Cancer</v>
      </c>
      <c r="E1159" s="17" t="s">
        <v>104</v>
      </c>
      <c r="F1159" s="18" t="s">
        <v>25</v>
      </c>
      <c r="G1159" s="19" t="s">
        <v>7</v>
      </c>
      <c r="H1159" s="20" t="s">
        <v>102</v>
      </c>
      <c r="I1159" s="18" t="s">
        <v>27</v>
      </c>
      <c r="J1159" t="s">
        <v>9</v>
      </c>
      <c r="K1159" s="17" t="s">
        <v>99</v>
      </c>
      <c r="L1159" s="22" t="s">
        <v>14</v>
      </c>
      <c r="M1159" t="s">
        <v>10</v>
      </c>
    </row>
    <row r="1160" spans="1:13" x14ac:dyDescent="0.25">
      <c r="A1160" t="s">
        <v>127</v>
      </c>
      <c r="B1160" s="16" t="s">
        <v>7</v>
      </c>
      <c r="C1160" t="s">
        <v>16</v>
      </c>
      <c r="D1160" t="str">
        <f t="shared" si="24"/>
        <v>VENUS-Aries-Leo</v>
      </c>
      <c r="E1160" s="17" t="s">
        <v>105</v>
      </c>
      <c r="F1160" s="18" t="s">
        <v>23</v>
      </c>
      <c r="G1160" s="19" t="s">
        <v>7</v>
      </c>
      <c r="H1160" s="20" t="s">
        <v>104</v>
      </c>
      <c r="I1160" s="18" t="s">
        <v>25</v>
      </c>
      <c r="J1160" t="s">
        <v>9</v>
      </c>
      <c r="K1160" s="17" t="s">
        <v>101</v>
      </c>
      <c r="L1160" s="22" t="s">
        <v>12</v>
      </c>
      <c r="M1160" t="s">
        <v>10</v>
      </c>
    </row>
    <row r="1161" spans="1:13" x14ac:dyDescent="0.25">
      <c r="A1161" t="s">
        <v>127</v>
      </c>
      <c r="B1161" s="16" t="s">
        <v>7</v>
      </c>
      <c r="C1161" t="s">
        <v>18</v>
      </c>
      <c r="D1161" t="str">
        <f t="shared" si="24"/>
        <v>VENUS-Aries-Virgo</v>
      </c>
      <c r="E1161" s="17" t="s">
        <v>106</v>
      </c>
      <c r="F1161" s="18" t="s">
        <v>21</v>
      </c>
      <c r="G1161" s="19" t="s">
        <v>7</v>
      </c>
      <c r="H1161" s="20" t="s">
        <v>105</v>
      </c>
      <c r="I1161" s="18" t="s">
        <v>23</v>
      </c>
      <c r="J1161" t="s">
        <v>9</v>
      </c>
      <c r="K1161" s="17" t="s">
        <v>103</v>
      </c>
      <c r="L1161" s="18" t="s">
        <v>9</v>
      </c>
      <c r="M1161" t="s">
        <v>10</v>
      </c>
    </row>
    <row r="1162" spans="1:13" x14ac:dyDescent="0.25">
      <c r="A1162" t="s">
        <v>127</v>
      </c>
      <c r="B1162" s="16" t="s">
        <v>7</v>
      </c>
      <c r="C1162" t="s">
        <v>10</v>
      </c>
      <c r="D1162" t="str">
        <f t="shared" si="24"/>
        <v>VENUS-Aries-Libra</v>
      </c>
      <c r="E1162" s="17" t="s">
        <v>107</v>
      </c>
      <c r="F1162" s="18" t="s">
        <v>10</v>
      </c>
      <c r="G1162" s="19" t="s">
        <v>7</v>
      </c>
      <c r="H1162" s="20" t="s">
        <v>106</v>
      </c>
      <c r="I1162" s="18" t="s">
        <v>21</v>
      </c>
      <c r="J1162" t="s">
        <v>9</v>
      </c>
      <c r="K1162" s="17" t="s">
        <v>98</v>
      </c>
      <c r="L1162" s="18" t="s">
        <v>7</v>
      </c>
      <c r="M1162" t="s">
        <v>10</v>
      </c>
    </row>
    <row r="1163" spans="1:13" x14ac:dyDescent="0.25">
      <c r="A1163" t="s">
        <v>127</v>
      </c>
      <c r="B1163" s="16" t="s">
        <v>7</v>
      </c>
      <c r="C1163" t="s">
        <v>21</v>
      </c>
      <c r="D1163" t="str">
        <f t="shared" si="24"/>
        <v>VENUS-Aries-Scorpio</v>
      </c>
      <c r="E1163" s="17" t="s">
        <v>108</v>
      </c>
      <c r="F1163" s="18" t="s">
        <v>18</v>
      </c>
      <c r="G1163" s="19" t="s">
        <v>7</v>
      </c>
      <c r="H1163" s="20" t="s">
        <v>107</v>
      </c>
      <c r="I1163" s="18" t="s">
        <v>10</v>
      </c>
      <c r="J1163" t="s">
        <v>9</v>
      </c>
      <c r="K1163" s="17" t="s">
        <v>100</v>
      </c>
      <c r="L1163" s="18" t="s">
        <v>29</v>
      </c>
      <c r="M1163" t="s">
        <v>10</v>
      </c>
    </row>
    <row r="1164" spans="1:13" x14ac:dyDescent="0.25">
      <c r="A1164" t="s">
        <v>127</v>
      </c>
      <c r="B1164" s="16" t="s">
        <v>7</v>
      </c>
      <c r="C1164" t="s">
        <v>23</v>
      </c>
      <c r="D1164" t="str">
        <f t="shared" si="24"/>
        <v>VENUS-Aries-Sagittarius</v>
      </c>
      <c r="E1164" s="17" t="s">
        <v>109</v>
      </c>
      <c r="F1164" s="18" t="s">
        <v>16</v>
      </c>
      <c r="G1164" s="19" t="s">
        <v>7</v>
      </c>
      <c r="H1164" s="20" t="s">
        <v>108</v>
      </c>
      <c r="I1164" s="18" t="s">
        <v>18</v>
      </c>
      <c r="J1164" t="s">
        <v>9</v>
      </c>
      <c r="K1164" s="17" t="s">
        <v>102</v>
      </c>
      <c r="L1164" s="18" t="s">
        <v>27</v>
      </c>
      <c r="M1164" t="s">
        <v>10</v>
      </c>
    </row>
    <row r="1165" spans="1:13" x14ac:dyDescent="0.25">
      <c r="A1165" t="s">
        <v>127</v>
      </c>
      <c r="B1165" s="16" t="s">
        <v>7</v>
      </c>
      <c r="C1165" t="s">
        <v>25</v>
      </c>
      <c r="D1165" t="str">
        <f t="shared" si="24"/>
        <v>VENUS-Aries-Capricorn</v>
      </c>
      <c r="E1165" s="17" t="s">
        <v>99</v>
      </c>
      <c r="F1165" s="18" t="s">
        <v>14</v>
      </c>
      <c r="G1165" s="19" t="s">
        <v>7</v>
      </c>
      <c r="H1165" s="20" t="s">
        <v>109</v>
      </c>
      <c r="I1165" s="18" t="s">
        <v>16</v>
      </c>
      <c r="J1165" t="s">
        <v>9</v>
      </c>
      <c r="K1165" s="17" t="s">
        <v>104</v>
      </c>
      <c r="L1165" s="18" t="s">
        <v>25</v>
      </c>
      <c r="M1165" t="s">
        <v>10</v>
      </c>
    </row>
    <row r="1166" spans="1:13" x14ac:dyDescent="0.25">
      <c r="A1166" t="s">
        <v>127</v>
      </c>
      <c r="B1166" s="16" t="s">
        <v>7</v>
      </c>
      <c r="C1166" t="s">
        <v>27</v>
      </c>
      <c r="D1166" t="str">
        <f t="shared" si="24"/>
        <v>VENUS-Aries-Aquarius</v>
      </c>
      <c r="E1166" s="17" t="s">
        <v>101</v>
      </c>
      <c r="F1166" s="18" t="s">
        <v>12</v>
      </c>
      <c r="G1166" s="19" t="s">
        <v>7</v>
      </c>
      <c r="H1166" s="20" t="s">
        <v>99</v>
      </c>
      <c r="I1166" s="18" t="s">
        <v>14</v>
      </c>
      <c r="J1166" t="s">
        <v>9</v>
      </c>
      <c r="K1166" s="17" t="s">
        <v>105</v>
      </c>
      <c r="L1166" s="18" t="s">
        <v>23</v>
      </c>
      <c r="M1166" t="s">
        <v>10</v>
      </c>
    </row>
    <row r="1167" spans="1:13" x14ac:dyDescent="0.25">
      <c r="A1167" t="s">
        <v>127</v>
      </c>
      <c r="B1167" s="16" t="s">
        <v>7</v>
      </c>
      <c r="C1167" t="s">
        <v>29</v>
      </c>
      <c r="D1167" t="str">
        <f t="shared" si="24"/>
        <v>VENUS-Aries-Pisces</v>
      </c>
      <c r="E1167" s="17" t="s">
        <v>103</v>
      </c>
      <c r="F1167" s="18" t="s">
        <v>9</v>
      </c>
      <c r="G1167" s="19" t="s">
        <v>7</v>
      </c>
      <c r="H1167" s="20" t="s">
        <v>101</v>
      </c>
      <c r="I1167" s="18" t="s">
        <v>12</v>
      </c>
      <c r="J1167" t="s">
        <v>9</v>
      </c>
      <c r="K1167" s="17" t="s">
        <v>106</v>
      </c>
      <c r="L1167" s="18" t="s">
        <v>21</v>
      </c>
      <c r="M1167" t="s">
        <v>10</v>
      </c>
    </row>
    <row r="1168" spans="1:13" x14ac:dyDescent="0.25">
      <c r="A1168" t="s">
        <v>127</v>
      </c>
      <c r="B1168" s="16" t="s">
        <v>9</v>
      </c>
      <c r="C1168" t="s">
        <v>7</v>
      </c>
      <c r="D1168" t="str">
        <f t="shared" si="24"/>
        <v>VENUS-Taurus-Aries</v>
      </c>
      <c r="E1168" s="17" t="s">
        <v>103</v>
      </c>
      <c r="F1168" s="18" t="s">
        <v>9</v>
      </c>
      <c r="G1168" s="19" t="s">
        <v>9</v>
      </c>
      <c r="H1168" s="20" t="s">
        <v>103</v>
      </c>
      <c r="I1168" s="18" t="s">
        <v>9</v>
      </c>
      <c r="J1168" t="s">
        <v>9</v>
      </c>
      <c r="K1168" s="17" t="s">
        <v>107</v>
      </c>
      <c r="L1168" s="22" t="s">
        <v>10</v>
      </c>
      <c r="M1168" t="s">
        <v>10</v>
      </c>
    </row>
    <row r="1169" spans="1:13" x14ac:dyDescent="0.25">
      <c r="A1169" t="s">
        <v>127</v>
      </c>
      <c r="B1169" s="16" t="s">
        <v>9</v>
      </c>
      <c r="C1169" t="s">
        <v>9</v>
      </c>
      <c r="D1169" t="str">
        <f t="shared" si="24"/>
        <v>VENUS-Taurus-Taurus</v>
      </c>
      <c r="E1169" s="17" t="s">
        <v>98</v>
      </c>
      <c r="F1169" s="18" t="s">
        <v>7</v>
      </c>
      <c r="G1169" s="19" t="s">
        <v>9</v>
      </c>
      <c r="H1169" s="20" t="s">
        <v>98</v>
      </c>
      <c r="I1169" s="18" t="s">
        <v>7</v>
      </c>
      <c r="J1169" t="s">
        <v>9</v>
      </c>
      <c r="K1169" s="17" t="s">
        <v>108</v>
      </c>
      <c r="L1169" s="22" t="s">
        <v>18</v>
      </c>
      <c r="M1169" t="s">
        <v>10</v>
      </c>
    </row>
    <row r="1170" spans="1:13" x14ac:dyDescent="0.25">
      <c r="A1170" t="s">
        <v>127</v>
      </c>
      <c r="B1170" s="16" t="s">
        <v>9</v>
      </c>
      <c r="C1170" t="s">
        <v>12</v>
      </c>
      <c r="D1170" t="str">
        <f t="shared" si="24"/>
        <v>VENUS-Taurus-Gemini</v>
      </c>
      <c r="E1170" s="17" t="s">
        <v>100</v>
      </c>
      <c r="F1170" s="18" t="s">
        <v>29</v>
      </c>
      <c r="G1170" s="19" t="s">
        <v>9</v>
      </c>
      <c r="H1170" s="20" t="s">
        <v>100</v>
      </c>
      <c r="I1170" s="18" t="s">
        <v>29</v>
      </c>
      <c r="J1170" t="s">
        <v>9</v>
      </c>
      <c r="K1170" s="17" t="s">
        <v>109</v>
      </c>
      <c r="L1170" s="22" t="s">
        <v>16</v>
      </c>
      <c r="M1170" t="s">
        <v>10</v>
      </c>
    </row>
    <row r="1171" spans="1:13" x14ac:dyDescent="0.25">
      <c r="A1171" t="s">
        <v>127</v>
      </c>
      <c r="B1171" s="16" t="s">
        <v>9</v>
      </c>
      <c r="C1171" t="s">
        <v>14</v>
      </c>
      <c r="D1171" t="str">
        <f t="shared" si="24"/>
        <v>VENUS-Taurus-Cancer</v>
      </c>
      <c r="E1171" s="17" t="s">
        <v>102</v>
      </c>
      <c r="F1171" s="18" t="s">
        <v>27</v>
      </c>
      <c r="G1171" s="19" t="s">
        <v>9</v>
      </c>
      <c r="H1171" s="20" t="s">
        <v>102</v>
      </c>
      <c r="I1171" s="18" t="s">
        <v>27</v>
      </c>
      <c r="J1171" t="s">
        <v>9</v>
      </c>
      <c r="K1171" s="17" t="s">
        <v>99</v>
      </c>
      <c r="L1171" s="22" t="s">
        <v>14</v>
      </c>
      <c r="M1171" t="s">
        <v>10</v>
      </c>
    </row>
    <row r="1172" spans="1:13" x14ac:dyDescent="0.25">
      <c r="A1172" t="s">
        <v>127</v>
      </c>
      <c r="B1172" s="16" t="s">
        <v>9</v>
      </c>
      <c r="C1172" t="s">
        <v>16</v>
      </c>
      <c r="D1172" t="str">
        <f t="shared" si="24"/>
        <v>VENUS-Taurus-Leo</v>
      </c>
      <c r="E1172" s="17" t="s">
        <v>104</v>
      </c>
      <c r="F1172" s="18" t="s">
        <v>25</v>
      </c>
      <c r="G1172" s="19" t="s">
        <v>9</v>
      </c>
      <c r="H1172" s="20" t="s">
        <v>104</v>
      </c>
      <c r="I1172" s="18" t="s">
        <v>25</v>
      </c>
      <c r="J1172" t="s">
        <v>9</v>
      </c>
      <c r="K1172" s="17" t="s">
        <v>101</v>
      </c>
      <c r="L1172" s="22" t="s">
        <v>12</v>
      </c>
      <c r="M1172" t="s">
        <v>10</v>
      </c>
    </row>
    <row r="1173" spans="1:13" x14ac:dyDescent="0.25">
      <c r="A1173" t="s">
        <v>127</v>
      </c>
      <c r="B1173" s="16" t="s">
        <v>9</v>
      </c>
      <c r="C1173" t="s">
        <v>18</v>
      </c>
      <c r="D1173" t="str">
        <f t="shared" si="24"/>
        <v>VENUS-Taurus-Virgo</v>
      </c>
      <c r="E1173" s="17" t="s">
        <v>105</v>
      </c>
      <c r="F1173" s="18" t="s">
        <v>23</v>
      </c>
      <c r="G1173" s="19" t="s">
        <v>9</v>
      </c>
      <c r="H1173" s="20" t="s">
        <v>105</v>
      </c>
      <c r="I1173" s="18" t="s">
        <v>23</v>
      </c>
      <c r="J1173" t="s">
        <v>9</v>
      </c>
      <c r="K1173" s="17" t="s">
        <v>103</v>
      </c>
      <c r="L1173" s="18" t="s">
        <v>9</v>
      </c>
      <c r="M1173" t="s">
        <v>10</v>
      </c>
    </row>
    <row r="1174" spans="1:13" x14ac:dyDescent="0.25">
      <c r="A1174" t="s">
        <v>127</v>
      </c>
      <c r="B1174" s="16" t="s">
        <v>9</v>
      </c>
      <c r="C1174" t="s">
        <v>10</v>
      </c>
      <c r="D1174" t="str">
        <f t="shared" si="24"/>
        <v>VENUS-Taurus-Libra</v>
      </c>
      <c r="E1174" s="17" t="s">
        <v>106</v>
      </c>
      <c r="F1174" s="18" t="s">
        <v>21</v>
      </c>
      <c r="G1174" s="19" t="s">
        <v>9</v>
      </c>
      <c r="H1174" s="20" t="s">
        <v>106</v>
      </c>
      <c r="I1174" s="18" t="s">
        <v>21</v>
      </c>
      <c r="J1174" t="s">
        <v>9</v>
      </c>
      <c r="K1174" s="17" t="s">
        <v>98</v>
      </c>
      <c r="L1174" s="18" t="s">
        <v>7</v>
      </c>
      <c r="M1174" t="s">
        <v>10</v>
      </c>
    </row>
    <row r="1175" spans="1:13" x14ac:dyDescent="0.25">
      <c r="A1175" t="s">
        <v>127</v>
      </c>
      <c r="B1175" s="16" t="s">
        <v>9</v>
      </c>
      <c r="C1175" t="s">
        <v>21</v>
      </c>
      <c r="D1175" t="str">
        <f t="shared" si="24"/>
        <v>VENUS-Taurus-Scorpio</v>
      </c>
      <c r="E1175" s="17" t="s">
        <v>107</v>
      </c>
      <c r="F1175" s="18" t="s">
        <v>10</v>
      </c>
      <c r="G1175" s="19" t="s">
        <v>9</v>
      </c>
      <c r="H1175" s="20" t="s">
        <v>107</v>
      </c>
      <c r="I1175" s="18" t="s">
        <v>10</v>
      </c>
      <c r="J1175" t="s">
        <v>9</v>
      </c>
      <c r="K1175" s="17" t="s">
        <v>100</v>
      </c>
      <c r="L1175" s="18" t="s">
        <v>29</v>
      </c>
      <c r="M1175" t="s">
        <v>10</v>
      </c>
    </row>
    <row r="1176" spans="1:13" x14ac:dyDescent="0.25">
      <c r="A1176" t="s">
        <v>127</v>
      </c>
      <c r="B1176" s="16" t="s">
        <v>9</v>
      </c>
      <c r="C1176" t="s">
        <v>23</v>
      </c>
      <c r="D1176" t="str">
        <f t="shared" si="24"/>
        <v>VENUS-Taurus-Sagittarius</v>
      </c>
      <c r="E1176" s="17" t="s">
        <v>108</v>
      </c>
      <c r="F1176" s="18" t="s">
        <v>18</v>
      </c>
      <c r="G1176" s="19" t="s">
        <v>9</v>
      </c>
      <c r="H1176" s="20" t="s">
        <v>108</v>
      </c>
      <c r="I1176" s="18" t="s">
        <v>18</v>
      </c>
      <c r="J1176" t="s">
        <v>9</v>
      </c>
      <c r="K1176" s="17" t="s">
        <v>102</v>
      </c>
      <c r="L1176" s="18" t="s">
        <v>27</v>
      </c>
      <c r="M1176" t="s">
        <v>10</v>
      </c>
    </row>
    <row r="1177" spans="1:13" x14ac:dyDescent="0.25">
      <c r="A1177" t="s">
        <v>127</v>
      </c>
      <c r="B1177" s="16" t="s">
        <v>9</v>
      </c>
      <c r="C1177" t="s">
        <v>25</v>
      </c>
      <c r="D1177" t="str">
        <f t="shared" si="24"/>
        <v>VENUS-Taurus-Capricorn</v>
      </c>
      <c r="E1177" s="17" t="s">
        <v>109</v>
      </c>
      <c r="F1177" s="18" t="s">
        <v>16</v>
      </c>
      <c r="G1177" s="19" t="s">
        <v>9</v>
      </c>
      <c r="H1177" s="20" t="s">
        <v>109</v>
      </c>
      <c r="I1177" s="18" t="s">
        <v>16</v>
      </c>
      <c r="J1177" t="s">
        <v>9</v>
      </c>
      <c r="K1177" s="17" t="s">
        <v>104</v>
      </c>
      <c r="L1177" s="18" t="s">
        <v>25</v>
      </c>
      <c r="M1177" t="s">
        <v>10</v>
      </c>
    </row>
    <row r="1178" spans="1:13" x14ac:dyDescent="0.25">
      <c r="A1178" t="s">
        <v>127</v>
      </c>
      <c r="B1178" s="16" t="s">
        <v>9</v>
      </c>
      <c r="C1178" t="s">
        <v>27</v>
      </c>
      <c r="D1178" t="str">
        <f t="shared" si="24"/>
        <v>VENUS-Taurus-Aquarius</v>
      </c>
      <c r="E1178" s="17" t="s">
        <v>99</v>
      </c>
      <c r="F1178" s="18" t="s">
        <v>14</v>
      </c>
      <c r="G1178" s="19" t="s">
        <v>9</v>
      </c>
      <c r="H1178" s="20" t="s">
        <v>99</v>
      </c>
      <c r="I1178" s="18" t="s">
        <v>14</v>
      </c>
      <c r="J1178" t="s">
        <v>9</v>
      </c>
      <c r="K1178" s="17" t="s">
        <v>105</v>
      </c>
      <c r="L1178" s="18" t="s">
        <v>23</v>
      </c>
      <c r="M1178" t="s">
        <v>10</v>
      </c>
    </row>
    <row r="1179" spans="1:13" x14ac:dyDescent="0.25">
      <c r="A1179" t="s">
        <v>127</v>
      </c>
      <c r="B1179" s="16" t="s">
        <v>9</v>
      </c>
      <c r="C1179" t="s">
        <v>29</v>
      </c>
      <c r="D1179" t="str">
        <f t="shared" si="24"/>
        <v>VENUS-Taurus-Pisces</v>
      </c>
      <c r="E1179" s="17" t="s">
        <v>101</v>
      </c>
      <c r="F1179" s="18" t="s">
        <v>12</v>
      </c>
      <c r="G1179" s="19" t="s">
        <v>9</v>
      </c>
      <c r="H1179" s="20" t="s">
        <v>101</v>
      </c>
      <c r="I1179" s="18" t="s">
        <v>12</v>
      </c>
      <c r="J1179" t="s">
        <v>9</v>
      </c>
      <c r="K1179" s="17" t="s">
        <v>106</v>
      </c>
      <c r="L1179" s="18" t="s">
        <v>21</v>
      </c>
      <c r="M1179" t="s">
        <v>10</v>
      </c>
    </row>
    <row r="1180" spans="1:13" x14ac:dyDescent="0.25">
      <c r="A1180" t="s">
        <v>127</v>
      </c>
      <c r="B1180" s="16" t="s">
        <v>12</v>
      </c>
      <c r="C1180" t="s">
        <v>7</v>
      </c>
      <c r="D1180" t="str">
        <f t="shared" si="24"/>
        <v>VENUS-Gemini-Aries</v>
      </c>
      <c r="E1180" s="17" t="s">
        <v>101</v>
      </c>
      <c r="F1180" s="18" t="s">
        <v>12</v>
      </c>
      <c r="G1180" s="19" t="s">
        <v>12</v>
      </c>
      <c r="H1180" s="20" t="s">
        <v>103</v>
      </c>
      <c r="I1180" s="18" t="s">
        <v>9</v>
      </c>
      <c r="J1180" t="s">
        <v>9</v>
      </c>
      <c r="K1180" s="17" t="s">
        <v>107</v>
      </c>
      <c r="L1180" s="22" t="s">
        <v>10</v>
      </c>
      <c r="M1180" t="s">
        <v>10</v>
      </c>
    </row>
    <row r="1181" spans="1:13" x14ac:dyDescent="0.25">
      <c r="A1181" t="s">
        <v>127</v>
      </c>
      <c r="B1181" s="16" t="s">
        <v>12</v>
      </c>
      <c r="C1181" t="s">
        <v>9</v>
      </c>
      <c r="D1181" t="str">
        <f t="shared" si="24"/>
        <v>VENUS-Gemini-Taurus</v>
      </c>
      <c r="E1181" s="17" t="s">
        <v>103</v>
      </c>
      <c r="F1181" s="18" t="s">
        <v>9</v>
      </c>
      <c r="G1181" s="19" t="s">
        <v>12</v>
      </c>
      <c r="H1181" s="20" t="s">
        <v>98</v>
      </c>
      <c r="I1181" s="18" t="s">
        <v>7</v>
      </c>
      <c r="J1181" t="s">
        <v>9</v>
      </c>
      <c r="K1181" s="17" t="s">
        <v>108</v>
      </c>
      <c r="L1181" s="22" t="s">
        <v>18</v>
      </c>
      <c r="M1181" t="s">
        <v>10</v>
      </c>
    </row>
    <row r="1182" spans="1:13" x14ac:dyDescent="0.25">
      <c r="A1182" t="s">
        <v>127</v>
      </c>
      <c r="B1182" s="16" t="s">
        <v>12</v>
      </c>
      <c r="C1182" t="s">
        <v>12</v>
      </c>
      <c r="D1182" t="str">
        <f t="shared" si="24"/>
        <v>VENUS-Gemini-Gemini</v>
      </c>
      <c r="E1182" s="17" t="s">
        <v>98</v>
      </c>
      <c r="F1182" s="18" t="s">
        <v>7</v>
      </c>
      <c r="G1182" s="19" t="s">
        <v>12</v>
      </c>
      <c r="H1182" s="20" t="s">
        <v>100</v>
      </c>
      <c r="I1182" s="18" t="s">
        <v>29</v>
      </c>
      <c r="J1182" t="s">
        <v>9</v>
      </c>
      <c r="K1182" s="17" t="s">
        <v>109</v>
      </c>
      <c r="L1182" s="22" t="s">
        <v>16</v>
      </c>
      <c r="M1182" t="s">
        <v>10</v>
      </c>
    </row>
    <row r="1183" spans="1:13" x14ac:dyDescent="0.25">
      <c r="A1183" t="s">
        <v>127</v>
      </c>
      <c r="B1183" s="16" t="s">
        <v>12</v>
      </c>
      <c r="C1183" t="s">
        <v>14</v>
      </c>
      <c r="D1183" t="str">
        <f t="shared" si="24"/>
        <v>VENUS-Gemini-Cancer</v>
      </c>
      <c r="E1183" s="17" t="s">
        <v>100</v>
      </c>
      <c r="F1183" s="18" t="s">
        <v>29</v>
      </c>
      <c r="G1183" s="19" t="s">
        <v>12</v>
      </c>
      <c r="H1183" s="20" t="s">
        <v>102</v>
      </c>
      <c r="I1183" s="18" t="s">
        <v>27</v>
      </c>
      <c r="J1183" t="s">
        <v>9</v>
      </c>
      <c r="K1183" s="17" t="s">
        <v>99</v>
      </c>
      <c r="L1183" s="22" t="s">
        <v>14</v>
      </c>
      <c r="M1183" t="s">
        <v>10</v>
      </c>
    </row>
    <row r="1184" spans="1:13" x14ac:dyDescent="0.25">
      <c r="A1184" t="s">
        <v>127</v>
      </c>
      <c r="B1184" s="16" t="s">
        <v>12</v>
      </c>
      <c r="C1184" t="s">
        <v>16</v>
      </c>
      <c r="D1184" t="str">
        <f t="shared" si="24"/>
        <v>VENUS-Gemini-Leo</v>
      </c>
      <c r="E1184" s="17" t="s">
        <v>102</v>
      </c>
      <c r="F1184" s="18" t="s">
        <v>27</v>
      </c>
      <c r="G1184" s="19" t="s">
        <v>12</v>
      </c>
      <c r="H1184" s="20" t="s">
        <v>104</v>
      </c>
      <c r="I1184" s="18" t="s">
        <v>25</v>
      </c>
      <c r="J1184" t="s">
        <v>9</v>
      </c>
      <c r="K1184" s="17" t="s">
        <v>101</v>
      </c>
      <c r="L1184" s="22" t="s">
        <v>12</v>
      </c>
      <c r="M1184" t="s">
        <v>10</v>
      </c>
    </row>
    <row r="1185" spans="1:13" x14ac:dyDescent="0.25">
      <c r="A1185" t="s">
        <v>127</v>
      </c>
      <c r="B1185" s="16" t="s">
        <v>12</v>
      </c>
      <c r="C1185" t="s">
        <v>18</v>
      </c>
      <c r="D1185" t="str">
        <f t="shared" si="24"/>
        <v>VENUS-Gemini-Virgo</v>
      </c>
      <c r="E1185" s="17" t="s">
        <v>104</v>
      </c>
      <c r="F1185" s="18" t="s">
        <v>25</v>
      </c>
      <c r="G1185" s="19" t="s">
        <v>12</v>
      </c>
      <c r="H1185" s="20" t="s">
        <v>105</v>
      </c>
      <c r="I1185" s="18" t="s">
        <v>23</v>
      </c>
      <c r="J1185" t="s">
        <v>9</v>
      </c>
      <c r="K1185" s="17" t="s">
        <v>103</v>
      </c>
      <c r="L1185" s="18" t="s">
        <v>9</v>
      </c>
      <c r="M1185" t="s">
        <v>10</v>
      </c>
    </row>
    <row r="1186" spans="1:13" x14ac:dyDescent="0.25">
      <c r="A1186" t="s">
        <v>127</v>
      </c>
      <c r="B1186" s="16" t="s">
        <v>12</v>
      </c>
      <c r="C1186" t="s">
        <v>10</v>
      </c>
      <c r="D1186" t="str">
        <f t="shared" si="24"/>
        <v>VENUS-Gemini-Libra</v>
      </c>
      <c r="E1186" s="17" t="s">
        <v>105</v>
      </c>
      <c r="F1186" s="18" t="s">
        <v>23</v>
      </c>
      <c r="G1186" s="19" t="s">
        <v>12</v>
      </c>
      <c r="H1186" s="20" t="s">
        <v>106</v>
      </c>
      <c r="I1186" s="18" t="s">
        <v>21</v>
      </c>
      <c r="J1186" t="s">
        <v>9</v>
      </c>
      <c r="K1186" s="17" t="s">
        <v>98</v>
      </c>
      <c r="L1186" s="18" t="s">
        <v>7</v>
      </c>
      <c r="M1186" t="s">
        <v>10</v>
      </c>
    </row>
    <row r="1187" spans="1:13" x14ac:dyDescent="0.25">
      <c r="A1187" t="s">
        <v>127</v>
      </c>
      <c r="B1187" s="16" t="s">
        <v>12</v>
      </c>
      <c r="C1187" t="s">
        <v>21</v>
      </c>
      <c r="D1187" t="str">
        <f t="shared" si="24"/>
        <v>VENUS-Gemini-Scorpio</v>
      </c>
      <c r="E1187" s="17" t="s">
        <v>106</v>
      </c>
      <c r="F1187" s="18" t="s">
        <v>21</v>
      </c>
      <c r="G1187" s="19" t="s">
        <v>12</v>
      </c>
      <c r="H1187" s="20" t="s">
        <v>107</v>
      </c>
      <c r="I1187" s="18" t="s">
        <v>10</v>
      </c>
      <c r="J1187" t="s">
        <v>9</v>
      </c>
      <c r="K1187" s="17" t="s">
        <v>100</v>
      </c>
      <c r="L1187" s="18" t="s">
        <v>29</v>
      </c>
      <c r="M1187" t="s">
        <v>10</v>
      </c>
    </row>
    <row r="1188" spans="1:13" x14ac:dyDescent="0.25">
      <c r="A1188" t="s">
        <v>127</v>
      </c>
      <c r="B1188" s="16" t="s">
        <v>12</v>
      </c>
      <c r="C1188" t="s">
        <v>23</v>
      </c>
      <c r="D1188" t="str">
        <f t="shared" ref="D1188:D1219" si="25">A1188&amp;"-"&amp;B1188&amp;"-"&amp;C1188</f>
        <v>VENUS-Gemini-Sagittarius</v>
      </c>
      <c r="E1188" s="17" t="s">
        <v>107</v>
      </c>
      <c r="F1188" s="18" t="s">
        <v>10</v>
      </c>
      <c r="G1188" s="19" t="s">
        <v>12</v>
      </c>
      <c r="H1188" s="20" t="s">
        <v>108</v>
      </c>
      <c r="I1188" s="18" t="s">
        <v>18</v>
      </c>
      <c r="J1188" t="s">
        <v>9</v>
      </c>
      <c r="K1188" s="17" t="s">
        <v>102</v>
      </c>
      <c r="L1188" s="18" t="s">
        <v>27</v>
      </c>
      <c r="M1188" t="s">
        <v>10</v>
      </c>
    </row>
    <row r="1189" spans="1:13" x14ac:dyDescent="0.25">
      <c r="A1189" t="s">
        <v>127</v>
      </c>
      <c r="B1189" s="16" t="s">
        <v>12</v>
      </c>
      <c r="C1189" t="s">
        <v>25</v>
      </c>
      <c r="D1189" t="str">
        <f t="shared" si="25"/>
        <v>VENUS-Gemini-Capricorn</v>
      </c>
      <c r="E1189" s="17" t="s">
        <v>108</v>
      </c>
      <c r="F1189" s="18" t="s">
        <v>18</v>
      </c>
      <c r="G1189" s="19" t="s">
        <v>12</v>
      </c>
      <c r="H1189" s="20" t="s">
        <v>109</v>
      </c>
      <c r="I1189" s="18" t="s">
        <v>16</v>
      </c>
      <c r="J1189" t="s">
        <v>9</v>
      </c>
      <c r="K1189" s="17" t="s">
        <v>104</v>
      </c>
      <c r="L1189" s="18" t="s">
        <v>25</v>
      </c>
      <c r="M1189" t="s">
        <v>10</v>
      </c>
    </row>
    <row r="1190" spans="1:13" x14ac:dyDescent="0.25">
      <c r="A1190" t="s">
        <v>127</v>
      </c>
      <c r="B1190" s="16" t="s">
        <v>12</v>
      </c>
      <c r="C1190" t="s">
        <v>27</v>
      </c>
      <c r="D1190" t="str">
        <f t="shared" si="25"/>
        <v>VENUS-Gemini-Aquarius</v>
      </c>
      <c r="E1190" s="17" t="s">
        <v>109</v>
      </c>
      <c r="F1190" s="18" t="s">
        <v>16</v>
      </c>
      <c r="G1190" s="19" t="s">
        <v>12</v>
      </c>
      <c r="H1190" s="20" t="s">
        <v>99</v>
      </c>
      <c r="I1190" s="18" t="s">
        <v>14</v>
      </c>
      <c r="J1190" t="s">
        <v>9</v>
      </c>
      <c r="K1190" s="17" t="s">
        <v>105</v>
      </c>
      <c r="L1190" s="18" t="s">
        <v>23</v>
      </c>
      <c r="M1190" t="s">
        <v>10</v>
      </c>
    </row>
    <row r="1191" spans="1:13" x14ac:dyDescent="0.25">
      <c r="A1191" t="s">
        <v>127</v>
      </c>
      <c r="B1191" s="16" t="s">
        <v>12</v>
      </c>
      <c r="C1191" t="s">
        <v>29</v>
      </c>
      <c r="D1191" t="str">
        <f t="shared" si="25"/>
        <v>VENUS-Gemini-Pisces</v>
      </c>
      <c r="E1191" s="17" t="s">
        <v>99</v>
      </c>
      <c r="F1191" s="18" t="s">
        <v>14</v>
      </c>
      <c r="G1191" s="19" t="s">
        <v>12</v>
      </c>
      <c r="H1191" s="20" t="s">
        <v>101</v>
      </c>
      <c r="I1191" s="18" t="s">
        <v>12</v>
      </c>
      <c r="J1191" t="s">
        <v>9</v>
      </c>
      <c r="K1191" s="17" t="s">
        <v>106</v>
      </c>
      <c r="L1191" s="18" t="s">
        <v>21</v>
      </c>
      <c r="M1191" t="s">
        <v>10</v>
      </c>
    </row>
    <row r="1192" spans="1:13" x14ac:dyDescent="0.25">
      <c r="A1192" t="s">
        <v>127</v>
      </c>
      <c r="B1192" s="16" t="s">
        <v>14</v>
      </c>
      <c r="C1192" t="s">
        <v>7</v>
      </c>
      <c r="D1192" t="str">
        <f t="shared" si="25"/>
        <v>VENUS-Cancer-Aries</v>
      </c>
      <c r="E1192" s="17" t="s">
        <v>99</v>
      </c>
      <c r="F1192" s="18" t="s">
        <v>14</v>
      </c>
      <c r="G1192" s="19" t="s">
        <v>14</v>
      </c>
      <c r="H1192" s="20" t="s">
        <v>103</v>
      </c>
      <c r="I1192" s="18" t="s">
        <v>9</v>
      </c>
      <c r="J1192" t="s">
        <v>9</v>
      </c>
      <c r="K1192" s="17" t="s">
        <v>107</v>
      </c>
      <c r="L1192" s="22" t="s">
        <v>10</v>
      </c>
      <c r="M1192" t="s">
        <v>10</v>
      </c>
    </row>
    <row r="1193" spans="1:13" x14ac:dyDescent="0.25">
      <c r="A1193" t="s">
        <v>127</v>
      </c>
      <c r="B1193" s="16" t="s">
        <v>14</v>
      </c>
      <c r="C1193" t="s">
        <v>9</v>
      </c>
      <c r="D1193" t="str">
        <f t="shared" si="25"/>
        <v>VENUS-Cancer-Taurus</v>
      </c>
      <c r="E1193" s="17" t="s">
        <v>101</v>
      </c>
      <c r="F1193" s="18" t="s">
        <v>12</v>
      </c>
      <c r="G1193" s="19" t="s">
        <v>14</v>
      </c>
      <c r="H1193" s="20" t="s">
        <v>98</v>
      </c>
      <c r="I1193" s="18" t="s">
        <v>7</v>
      </c>
      <c r="J1193" t="s">
        <v>9</v>
      </c>
      <c r="K1193" s="17" t="s">
        <v>108</v>
      </c>
      <c r="L1193" s="22" t="s">
        <v>18</v>
      </c>
      <c r="M1193" t="s">
        <v>10</v>
      </c>
    </row>
    <row r="1194" spans="1:13" x14ac:dyDescent="0.25">
      <c r="A1194" t="s">
        <v>127</v>
      </c>
      <c r="B1194" s="16" t="s">
        <v>14</v>
      </c>
      <c r="C1194" t="s">
        <v>12</v>
      </c>
      <c r="D1194" t="str">
        <f t="shared" si="25"/>
        <v>VENUS-Cancer-Gemini</v>
      </c>
      <c r="E1194" s="17" t="s">
        <v>103</v>
      </c>
      <c r="F1194" s="18" t="s">
        <v>9</v>
      </c>
      <c r="G1194" s="19" t="s">
        <v>14</v>
      </c>
      <c r="H1194" s="20" t="s">
        <v>100</v>
      </c>
      <c r="I1194" s="18" t="s">
        <v>29</v>
      </c>
      <c r="J1194" t="s">
        <v>9</v>
      </c>
      <c r="K1194" s="17" t="s">
        <v>109</v>
      </c>
      <c r="L1194" s="22" t="s">
        <v>16</v>
      </c>
      <c r="M1194" t="s">
        <v>10</v>
      </c>
    </row>
    <row r="1195" spans="1:13" x14ac:dyDescent="0.25">
      <c r="A1195" t="s">
        <v>127</v>
      </c>
      <c r="B1195" s="16" t="s">
        <v>14</v>
      </c>
      <c r="C1195" t="s">
        <v>14</v>
      </c>
      <c r="D1195" t="str">
        <f t="shared" si="25"/>
        <v>VENUS-Cancer-Cancer</v>
      </c>
      <c r="E1195" s="17" t="s">
        <v>98</v>
      </c>
      <c r="F1195" s="18" t="s">
        <v>7</v>
      </c>
      <c r="G1195" s="19" t="s">
        <v>14</v>
      </c>
      <c r="H1195" s="20" t="s">
        <v>102</v>
      </c>
      <c r="I1195" s="18" t="s">
        <v>27</v>
      </c>
      <c r="J1195" t="s">
        <v>9</v>
      </c>
      <c r="K1195" s="17" t="s">
        <v>99</v>
      </c>
      <c r="L1195" s="22" t="s">
        <v>14</v>
      </c>
      <c r="M1195" t="s">
        <v>10</v>
      </c>
    </row>
    <row r="1196" spans="1:13" x14ac:dyDescent="0.25">
      <c r="A1196" t="s">
        <v>127</v>
      </c>
      <c r="B1196" s="16" t="s">
        <v>14</v>
      </c>
      <c r="C1196" t="s">
        <v>16</v>
      </c>
      <c r="D1196" t="str">
        <f t="shared" si="25"/>
        <v>VENUS-Cancer-Leo</v>
      </c>
      <c r="E1196" s="17" t="s">
        <v>100</v>
      </c>
      <c r="F1196" s="18" t="s">
        <v>29</v>
      </c>
      <c r="G1196" s="19" t="s">
        <v>14</v>
      </c>
      <c r="H1196" s="20" t="s">
        <v>104</v>
      </c>
      <c r="I1196" s="18" t="s">
        <v>25</v>
      </c>
      <c r="J1196" t="s">
        <v>9</v>
      </c>
      <c r="K1196" s="17" t="s">
        <v>101</v>
      </c>
      <c r="L1196" s="22" t="s">
        <v>12</v>
      </c>
      <c r="M1196" t="s">
        <v>10</v>
      </c>
    </row>
    <row r="1197" spans="1:13" x14ac:dyDescent="0.25">
      <c r="A1197" t="s">
        <v>127</v>
      </c>
      <c r="B1197" s="16" t="s">
        <v>14</v>
      </c>
      <c r="C1197" t="s">
        <v>18</v>
      </c>
      <c r="D1197" t="str">
        <f t="shared" si="25"/>
        <v>VENUS-Cancer-Virgo</v>
      </c>
      <c r="E1197" s="17" t="s">
        <v>102</v>
      </c>
      <c r="F1197" s="18" t="s">
        <v>27</v>
      </c>
      <c r="G1197" s="19" t="s">
        <v>14</v>
      </c>
      <c r="H1197" s="20" t="s">
        <v>105</v>
      </c>
      <c r="I1197" s="18" t="s">
        <v>23</v>
      </c>
      <c r="J1197" t="s">
        <v>9</v>
      </c>
      <c r="K1197" s="17" t="s">
        <v>103</v>
      </c>
      <c r="L1197" s="18" t="s">
        <v>9</v>
      </c>
      <c r="M1197" t="s">
        <v>10</v>
      </c>
    </row>
    <row r="1198" spans="1:13" x14ac:dyDescent="0.25">
      <c r="A1198" t="s">
        <v>127</v>
      </c>
      <c r="B1198" s="16" t="s">
        <v>14</v>
      </c>
      <c r="C1198" t="s">
        <v>10</v>
      </c>
      <c r="D1198" t="str">
        <f t="shared" si="25"/>
        <v>VENUS-Cancer-Libra</v>
      </c>
      <c r="E1198" s="17" t="s">
        <v>104</v>
      </c>
      <c r="F1198" s="18" t="s">
        <v>25</v>
      </c>
      <c r="G1198" s="19" t="s">
        <v>14</v>
      </c>
      <c r="H1198" s="20" t="s">
        <v>106</v>
      </c>
      <c r="I1198" s="18" t="s">
        <v>21</v>
      </c>
      <c r="J1198" t="s">
        <v>9</v>
      </c>
      <c r="K1198" s="17" t="s">
        <v>98</v>
      </c>
      <c r="L1198" s="18" t="s">
        <v>7</v>
      </c>
      <c r="M1198" t="s">
        <v>10</v>
      </c>
    </row>
    <row r="1199" spans="1:13" x14ac:dyDescent="0.25">
      <c r="A1199" t="s">
        <v>127</v>
      </c>
      <c r="B1199" s="16" t="s">
        <v>14</v>
      </c>
      <c r="C1199" t="s">
        <v>21</v>
      </c>
      <c r="D1199" t="str">
        <f t="shared" si="25"/>
        <v>VENUS-Cancer-Scorpio</v>
      </c>
      <c r="E1199" s="17" t="s">
        <v>105</v>
      </c>
      <c r="F1199" s="18" t="s">
        <v>23</v>
      </c>
      <c r="G1199" s="19" t="s">
        <v>14</v>
      </c>
      <c r="H1199" s="20" t="s">
        <v>107</v>
      </c>
      <c r="I1199" s="18" t="s">
        <v>10</v>
      </c>
      <c r="J1199" t="s">
        <v>9</v>
      </c>
      <c r="K1199" s="17" t="s">
        <v>100</v>
      </c>
      <c r="L1199" s="18" t="s">
        <v>29</v>
      </c>
      <c r="M1199" t="s">
        <v>10</v>
      </c>
    </row>
    <row r="1200" spans="1:13" x14ac:dyDescent="0.25">
      <c r="A1200" t="s">
        <v>127</v>
      </c>
      <c r="B1200" s="16" t="s">
        <v>14</v>
      </c>
      <c r="C1200" t="s">
        <v>23</v>
      </c>
      <c r="D1200" t="str">
        <f t="shared" si="25"/>
        <v>VENUS-Cancer-Sagittarius</v>
      </c>
      <c r="E1200" s="17" t="s">
        <v>106</v>
      </c>
      <c r="F1200" s="18" t="s">
        <v>21</v>
      </c>
      <c r="G1200" s="19" t="s">
        <v>14</v>
      </c>
      <c r="H1200" s="20" t="s">
        <v>108</v>
      </c>
      <c r="I1200" s="18" t="s">
        <v>18</v>
      </c>
      <c r="J1200" t="s">
        <v>9</v>
      </c>
      <c r="K1200" s="17" t="s">
        <v>102</v>
      </c>
      <c r="L1200" s="18" t="s">
        <v>27</v>
      </c>
      <c r="M1200" t="s">
        <v>10</v>
      </c>
    </row>
    <row r="1201" spans="1:13" x14ac:dyDescent="0.25">
      <c r="A1201" t="s">
        <v>127</v>
      </c>
      <c r="B1201" s="16" t="s">
        <v>14</v>
      </c>
      <c r="C1201" t="s">
        <v>25</v>
      </c>
      <c r="D1201" t="str">
        <f t="shared" si="25"/>
        <v>VENUS-Cancer-Capricorn</v>
      </c>
      <c r="E1201" s="17" t="s">
        <v>107</v>
      </c>
      <c r="F1201" s="18" t="s">
        <v>10</v>
      </c>
      <c r="G1201" s="19" t="s">
        <v>14</v>
      </c>
      <c r="H1201" s="20" t="s">
        <v>109</v>
      </c>
      <c r="I1201" s="18" t="s">
        <v>16</v>
      </c>
      <c r="J1201" t="s">
        <v>9</v>
      </c>
      <c r="K1201" s="17" t="s">
        <v>104</v>
      </c>
      <c r="L1201" s="18" t="s">
        <v>25</v>
      </c>
      <c r="M1201" t="s">
        <v>10</v>
      </c>
    </row>
    <row r="1202" spans="1:13" x14ac:dyDescent="0.25">
      <c r="A1202" t="s">
        <v>127</v>
      </c>
      <c r="B1202" s="16" t="s">
        <v>14</v>
      </c>
      <c r="C1202" t="s">
        <v>27</v>
      </c>
      <c r="D1202" t="str">
        <f t="shared" si="25"/>
        <v>VENUS-Cancer-Aquarius</v>
      </c>
      <c r="E1202" s="17" t="s">
        <v>108</v>
      </c>
      <c r="F1202" s="18" t="s">
        <v>18</v>
      </c>
      <c r="G1202" s="19" t="s">
        <v>14</v>
      </c>
      <c r="H1202" s="20" t="s">
        <v>99</v>
      </c>
      <c r="I1202" s="18" t="s">
        <v>14</v>
      </c>
      <c r="J1202" t="s">
        <v>9</v>
      </c>
      <c r="K1202" s="17" t="s">
        <v>105</v>
      </c>
      <c r="L1202" s="18" t="s">
        <v>23</v>
      </c>
      <c r="M1202" t="s">
        <v>10</v>
      </c>
    </row>
    <row r="1203" spans="1:13" x14ac:dyDescent="0.25">
      <c r="A1203" t="s">
        <v>127</v>
      </c>
      <c r="B1203" s="16" t="s">
        <v>14</v>
      </c>
      <c r="C1203" t="s">
        <v>29</v>
      </c>
      <c r="D1203" t="str">
        <f t="shared" si="25"/>
        <v>VENUS-Cancer-Pisces</v>
      </c>
      <c r="E1203" s="17" t="s">
        <v>109</v>
      </c>
      <c r="F1203" s="18" t="s">
        <v>16</v>
      </c>
      <c r="G1203" s="19" t="s">
        <v>14</v>
      </c>
      <c r="H1203" s="20" t="s">
        <v>101</v>
      </c>
      <c r="I1203" s="18" t="s">
        <v>12</v>
      </c>
      <c r="J1203" t="s">
        <v>9</v>
      </c>
      <c r="K1203" s="17" t="s">
        <v>106</v>
      </c>
      <c r="L1203" s="18" t="s">
        <v>21</v>
      </c>
      <c r="M1203" t="s">
        <v>10</v>
      </c>
    </row>
    <row r="1204" spans="1:13" x14ac:dyDescent="0.25">
      <c r="A1204" t="s">
        <v>127</v>
      </c>
      <c r="B1204" s="16" t="s">
        <v>16</v>
      </c>
      <c r="C1204" t="s">
        <v>7</v>
      </c>
      <c r="D1204" t="str">
        <f t="shared" si="25"/>
        <v>VENUS-Leo-Aries</v>
      </c>
      <c r="E1204" s="17" t="s">
        <v>109</v>
      </c>
      <c r="F1204" s="18" t="s">
        <v>16</v>
      </c>
      <c r="G1204" s="19" t="s">
        <v>16</v>
      </c>
      <c r="H1204" s="20" t="s">
        <v>103</v>
      </c>
      <c r="I1204" s="18" t="s">
        <v>9</v>
      </c>
      <c r="J1204" t="s">
        <v>9</v>
      </c>
      <c r="K1204" s="17" t="s">
        <v>107</v>
      </c>
      <c r="L1204" s="22" t="s">
        <v>10</v>
      </c>
      <c r="M1204" t="s">
        <v>10</v>
      </c>
    </row>
    <row r="1205" spans="1:13" x14ac:dyDescent="0.25">
      <c r="A1205" t="s">
        <v>127</v>
      </c>
      <c r="B1205" s="16" t="s">
        <v>16</v>
      </c>
      <c r="C1205" t="s">
        <v>9</v>
      </c>
      <c r="D1205" t="str">
        <f t="shared" si="25"/>
        <v>VENUS-Leo-Taurus</v>
      </c>
      <c r="E1205" s="17" t="s">
        <v>99</v>
      </c>
      <c r="F1205" s="18" t="s">
        <v>14</v>
      </c>
      <c r="G1205" s="19" t="s">
        <v>16</v>
      </c>
      <c r="H1205" s="20" t="s">
        <v>98</v>
      </c>
      <c r="I1205" s="18" t="s">
        <v>7</v>
      </c>
      <c r="J1205" t="s">
        <v>9</v>
      </c>
      <c r="K1205" s="17" t="s">
        <v>108</v>
      </c>
      <c r="L1205" s="22" t="s">
        <v>18</v>
      </c>
      <c r="M1205" t="s">
        <v>10</v>
      </c>
    </row>
    <row r="1206" spans="1:13" x14ac:dyDescent="0.25">
      <c r="A1206" t="s">
        <v>127</v>
      </c>
      <c r="B1206" s="16" t="s">
        <v>16</v>
      </c>
      <c r="C1206" t="s">
        <v>12</v>
      </c>
      <c r="D1206" t="str">
        <f t="shared" si="25"/>
        <v>VENUS-Leo-Gemini</v>
      </c>
      <c r="E1206" s="17" t="s">
        <v>101</v>
      </c>
      <c r="F1206" s="18" t="s">
        <v>12</v>
      </c>
      <c r="G1206" s="19" t="s">
        <v>16</v>
      </c>
      <c r="H1206" s="20" t="s">
        <v>100</v>
      </c>
      <c r="I1206" s="18" t="s">
        <v>29</v>
      </c>
      <c r="J1206" t="s">
        <v>9</v>
      </c>
      <c r="K1206" s="17" t="s">
        <v>109</v>
      </c>
      <c r="L1206" s="22" t="s">
        <v>16</v>
      </c>
      <c r="M1206" t="s">
        <v>10</v>
      </c>
    </row>
    <row r="1207" spans="1:13" x14ac:dyDescent="0.25">
      <c r="A1207" t="s">
        <v>127</v>
      </c>
      <c r="B1207" s="16" t="s">
        <v>16</v>
      </c>
      <c r="C1207" t="s">
        <v>14</v>
      </c>
      <c r="D1207" t="str">
        <f t="shared" si="25"/>
        <v>VENUS-Leo-Cancer</v>
      </c>
      <c r="E1207" s="17" t="s">
        <v>103</v>
      </c>
      <c r="F1207" s="18" t="s">
        <v>9</v>
      </c>
      <c r="G1207" s="19" t="s">
        <v>16</v>
      </c>
      <c r="H1207" s="20" t="s">
        <v>102</v>
      </c>
      <c r="I1207" s="18" t="s">
        <v>27</v>
      </c>
      <c r="J1207" t="s">
        <v>9</v>
      </c>
      <c r="K1207" s="17" t="s">
        <v>99</v>
      </c>
      <c r="L1207" s="22" t="s">
        <v>14</v>
      </c>
      <c r="M1207" t="s">
        <v>10</v>
      </c>
    </row>
    <row r="1208" spans="1:13" x14ac:dyDescent="0.25">
      <c r="A1208" t="s">
        <v>127</v>
      </c>
      <c r="B1208" s="16" t="s">
        <v>16</v>
      </c>
      <c r="C1208" t="s">
        <v>16</v>
      </c>
      <c r="D1208" t="str">
        <f t="shared" si="25"/>
        <v>VENUS-Leo-Leo</v>
      </c>
      <c r="E1208" s="17" t="s">
        <v>98</v>
      </c>
      <c r="F1208" s="18" t="s">
        <v>7</v>
      </c>
      <c r="G1208" s="19" t="s">
        <v>16</v>
      </c>
      <c r="H1208" s="20" t="s">
        <v>104</v>
      </c>
      <c r="I1208" s="18" t="s">
        <v>25</v>
      </c>
      <c r="J1208" t="s">
        <v>9</v>
      </c>
      <c r="K1208" s="17" t="s">
        <v>101</v>
      </c>
      <c r="L1208" s="22" t="s">
        <v>12</v>
      </c>
      <c r="M1208" t="s">
        <v>10</v>
      </c>
    </row>
    <row r="1209" spans="1:13" x14ac:dyDescent="0.25">
      <c r="A1209" t="s">
        <v>127</v>
      </c>
      <c r="B1209" s="16" t="s">
        <v>16</v>
      </c>
      <c r="C1209" t="s">
        <v>18</v>
      </c>
      <c r="D1209" t="str">
        <f t="shared" si="25"/>
        <v>VENUS-Leo-Virgo</v>
      </c>
      <c r="E1209" s="17" t="s">
        <v>100</v>
      </c>
      <c r="F1209" s="18" t="s">
        <v>29</v>
      </c>
      <c r="G1209" s="19" t="s">
        <v>16</v>
      </c>
      <c r="H1209" s="20" t="s">
        <v>105</v>
      </c>
      <c r="I1209" s="18" t="s">
        <v>23</v>
      </c>
      <c r="J1209" t="s">
        <v>9</v>
      </c>
      <c r="K1209" s="17" t="s">
        <v>103</v>
      </c>
      <c r="L1209" s="18" t="s">
        <v>9</v>
      </c>
      <c r="M1209" t="s">
        <v>10</v>
      </c>
    </row>
    <row r="1210" spans="1:13" x14ac:dyDescent="0.25">
      <c r="A1210" t="s">
        <v>127</v>
      </c>
      <c r="B1210" s="16" t="s">
        <v>16</v>
      </c>
      <c r="C1210" t="s">
        <v>10</v>
      </c>
      <c r="D1210" t="str">
        <f t="shared" si="25"/>
        <v>VENUS-Leo-Libra</v>
      </c>
      <c r="E1210" s="17" t="s">
        <v>102</v>
      </c>
      <c r="F1210" s="18" t="s">
        <v>27</v>
      </c>
      <c r="G1210" s="19" t="s">
        <v>16</v>
      </c>
      <c r="H1210" s="20" t="s">
        <v>106</v>
      </c>
      <c r="I1210" s="18" t="s">
        <v>21</v>
      </c>
      <c r="J1210" t="s">
        <v>9</v>
      </c>
      <c r="K1210" s="17" t="s">
        <v>98</v>
      </c>
      <c r="L1210" s="18" t="s">
        <v>7</v>
      </c>
      <c r="M1210" t="s">
        <v>10</v>
      </c>
    </row>
    <row r="1211" spans="1:13" x14ac:dyDescent="0.25">
      <c r="A1211" t="s">
        <v>127</v>
      </c>
      <c r="B1211" s="16" t="s">
        <v>16</v>
      </c>
      <c r="C1211" t="s">
        <v>21</v>
      </c>
      <c r="D1211" t="str">
        <f t="shared" si="25"/>
        <v>VENUS-Leo-Scorpio</v>
      </c>
      <c r="E1211" s="17" t="s">
        <v>104</v>
      </c>
      <c r="F1211" s="18" t="s">
        <v>25</v>
      </c>
      <c r="G1211" s="19" t="s">
        <v>16</v>
      </c>
      <c r="H1211" s="20" t="s">
        <v>107</v>
      </c>
      <c r="I1211" s="18" t="s">
        <v>10</v>
      </c>
      <c r="J1211" t="s">
        <v>9</v>
      </c>
      <c r="K1211" s="17" t="s">
        <v>100</v>
      </c>
      <c r="L1211" s="18" t="s">
        <v>29</v>
      </c>
      <c r="M1211" t="s">
        <v>10</v>
      </c>
    </row>
    <row r="1212" spans="1:13" x14ac:dyDescent="0.25">
      <c r="A1212" t="s">
        <v>127</v>
      </c>
      <c r="B1212" s="16" t="s">
        <v>16</v>
      </c>
      <c r="C1212" t="s">
        <v>23</v>
      </c>
      <c r="D1212" t="str">
        <f t="shared" si="25"/>
        <v>VENUS-Leo-Sagittarius</v>
      </c>
      <c r="E1212" s="17" t="s">
        <v>105</v>
      </c>
      <c r="F1212" s="18" t="s">
        <v>23</v>
      </c>
      <c r="G1212" s="19" t="s">
        <v>16</v>
      </c>
      <c r="H1212" s="20" t="s">
        <v>108</v>
      </c>
      <c r="I1212" s="18" t="s">
        <v>18</v>
      </c>
      <c r="J1212" t="s">
        <v>9</v>
      </c>
      <c r="K1212" s="17" t="s">
        <v>102</v>
      </c>
      <c r="L1212" s="18" t="s">
        <v>27</v>
      </c>
      <c r="M1212" t="s">
        <v>10</v>
      </c>
    </row>
    <row r="1213" spans="1:13" x14ac:dyDescent="0.25">
      <c r="A1213" t="s">
        <v>127</v>
      </c>
      <c r="B1213" s="16" t="s">
        <v>16</v>
      </c>
      <c r="C1213" t="s">
        <v>25</v>
      </c>
      <c r="D1213" t="str">
        <f t="shared" si="25"/>
        <v>VENUS-Leo-Capricorn</v>
      </c>
      <c r="E1213" s="17" t="s">
        <v>106</v>
      </c>
      <c r="F1213" s="18" t="s">
        <v>21</v>
      </c>
      <c r="G1213" s="19" t="s">
        <v>16</v>
      </c>
      <c r="H1213" s="20" t="s">
        <v>109</v>
      </c>
      <c r="I1213" s="18" t="s">
        <v>16</v>
      </c>
      <c r="J1213" t="s">
        <v>9</v>
      </c>
      <c r="K1213" s="17" t="s">
        <v>104</v>
      </c>
      <c r="L1213" s="18" t="s">
        <v>25</v>
      </c>
      <c r="M1213" t="s">
        <v>10</v>
      </c>
    </row>
    <row r="1214" spans="1:13" x14ac:dyDescent="0.25">
      <c r="A1214" t="s">
        <v>127</v>
      </c>
      <c r="B1214" s="16" t="s">
        <v>16</v>
      </c>
      <c r="C1214" t="s">
        <v>27</v>
      </c>
      <c r="D1214" t="str">
        <f t="shared" si="25"/>
        <v>VENUS-Leo-Aquarius</v>
      </c>
      <c r="E1214" s="17" t="s">
        <v>107</v>
      </c>
      <c r="F1214" s="18" t="s">
        <v>10</v>
      </c>
      <c r="G1214" s="19" t="s">
        <v>16</v>
      </c>
      <c r="H1214" s="20" t="s">
        <v>99</v>
      </c>
      <c r="I1214" s="18" t="s">
        <v>14</v>
      </c>
      <c r="J1214" t="s">
        <v>9</v>
      </c>
      <c r="K1214" s="17" t="s">
        <v>105</v>
      </c>
      <c r="L1214" s="18" t="s">
        <v>23</v>
      </c>
      <c r="M1214" t="s">
        <v>10</v>
      </c>
    </row>
    <row r="1215" spans="1:13" x14ac:dyDescent="0.25">
      <c r="A1215" t="s">
        <v>127</v>
      </c>
      <c r="B1215" s="16" t="s">
        <v>16</v>
      </c>
      <c r="C1215" t="s">
        <v>29</v>
      </c>
      <c r="D1215" t="str">
        <f t="shared" si="25"/>
        <v>VENUS-Leo-Pisces</v>
      </c>
      <c r="E1215" s="17" t="s">
        <v>108</v>
      </c>
      <c r="F1215" s="18" t="s">
        <v>18</v>
      </c>
      <c r="G1215" s="19" t="s">
        <v>16</v>
      </c>
      <c r="H1215" s="20" t="s">
        <v>101</v>
      </c>
      <c r="I1215" s="18" t="s">
        <v>12</v>
      </c>
      <c r="J1215" t="s">
        <v>9</v>
      </c>
      <c r="K1215" s="17" t="s">
        <v>106</v>
      </c>
      <c r="L1215" s="18" t="s">
        <v>21</v>
      </c>
      <c r="M1215" t="s">
        <v>10</v>
      </c>
    </row>
    <row r="1216" spans="1:13" x14ac:dyDescent="0.25">
      <c r="A1216" t="s">
        <v>127</v>
      </c>
      <c r="B1216" s="16" t="s">
        <v>18</v>
      </c>
      <c r="C1216" t="s">
        <v>7</v>
      </c>
      <c r="D1216" t="str">
        <f t="shared" si="25"/>
        <v>VENUS-Virgo-Aries</v>
      </c>
      <c r="E1216" s="17" t="s">
        <v>108</v>
      </c>
      <c r="F1216" s="18" t="s">
        <v>18</v>
      </c>
      <c r="G1216" s="19" t="s">
        <v>18</v>
      </c>
      <c r="H1216" s="20" t="s">
        <v>103</v>
      </c>
      <c r="I1216" s="18" t="s">
        <v>9</v>
      </c>
      <c r="J1216" t="s">
        <v>9</v>
      </c>
      <c r="K1216" s="17" t="s">
        <v>107</v>
      </c>
      <c r="L1216" s="22" t="s">
        <v>10</v>
      </c>
      <c r="M1216" t="s">
        <v>10</v>
      </c>
    </row>
    <row r="1217" spans="1:13" x14ac:dyDescent="0.25">
      <c r="A1217" t="s">
        <v>127</v>
      </c>
      <c r="B1217" s="16" t="s">
        <v>18</v>
      </c>
      <c r="C1217" t="s">
        <v>9</v>
      </c>
      <c r="D1217" t="str">
        <f t="shared" si="25"/>
        <v>VENUS-Virgo-Taurus</v>
      </c>
      <c r="E1217" s="17" t="s">
        <v>109</v>
      </c>
      <c r="F1217" s="18" t="s">
        <v>16</v>
      </c>
      <c r="G1217" s="19" t="s">
        <v>18</v>
      </c>
      <c r="H1217" s="20" t="s">
        <v>98</v>
      </c>
      <c r="I1217" s="18" t="s">
        <v>7</v>
      </c>
      <c r="J1217" t="s">
        <v>9</v>
      </c>
      <c r="K1217" s="17" t="s">
        <v>108</v>
      </c>
      <c r="L1217" s="22" t="s">
        <v>18</v>
      </c>
      <c r="M1217" t="s">
        <v>10</v>
      </c>
    </row>
    <row r="1218" spans="1:13" x14ac:dyDescent="0.25">
      <c r="A1218" t="s">
        <v>127</v>
      </c>
      <c r="B1218" s="16" t="s">
        <v>18</v>
      </c>
      <c r="C1218" t="s">
        <v>12</v>
      </c>
      <c r="D1218" t="str">
        <f t="shared" si="25"/>
        <v>VENUS-Virgo-Gemini</v>
      </c>
      <c r="E1218" s="17" t="s">
        <v>99</v>
      </c>
      <c r="F1218" s="18" t="s">
        <v>14</v>
      </c>
      <c r="G1218" s="19" t="s">
        <v>18</v>
      </c>
      <c r="H1218" s="20" t="s">
        <v>100</v>
      </c>
      <c r="I1218" s="18" t="s">
        <v>29</v>
      </c>
      <c r="J1218" t="s">
        <v>9</v>
      </c>
      <c r="K1218" s="17" t="s">
        <v>109</v>
      </c>
      <c r="L1218" s="22" t="s">
        <v>16</v>
      </c>
      <c r="M1218" t="s">
        <v>10</v>
      </c>
    </row>
    <row r="1219" spans="1:13" x14ac:dyDescent="0.25">
      <c r="A1219" t="s">
        <v>127</v>
      </c>
      <c r="B1219" s="16" t="s">
        <v>18</v>
      </c>
      <c r="C1219" t="s">
        <v>14</v>
      </c>
      <c r="D1219" t="str">
        <f t="shared" si="25"/>
        <v>VENUS-Virgo-Cancer</v>
      </c>
      <c r="E1219" s="17" t="s">
        <v>101</v>
      </c>
      <c r="F1219" s="18" t="s">
        <v>12</v>
      </c>
      <c r="G1219" s="19" t="s">
        <v>18</v>
      </c>
      <c r="H1219" s="20" t="s">
        <v>102</v>
      </c>
      <c r="I1219" s="18" t="s">
        <v>27</v>
      </c>
      <c r="J1219" t="s">
        <v>9</v>
      </c>
      <c r="K1219" s="17" t="s">
        <v>99</v>
      </c>
      <c r="L1219" s="22" t="s">
        <v>14</v>
      </c>
      <c r="M1219" t="s">
        <v>10</v>
      </c>
    </row>
    <row r="1220" spans="1:13" x14ac:dyDescent="0.25">
      <c r="A1220" t="s">
        <v>127</v>
      </c>
      <c r="B1220" s="16" t="s">
        <v>18</v>
      </c>
      <c r="C1220" t="s">
        <v>16</v>
      </c>
      <c r="D1220" t="str">
        <f t="shared" ref="D1220:D1251" si="26">A1220&amp;"-"&amp;B1220&amp;"-"&amp;C1220</f>
        <v>VENUS-Virgo-Leo</v>
      </c>
      <c r="E1220" s="17" t="s">
        <v>103</v>
      </c>
      <c r="F1220" s="18" t="s">
        <v>9</v>
      </c>
      <c r="G1220" s="19" t="s">
        <v>18</v>
      </c>
      <c r="H1220" s="20" t="s">
        <v>104</v>
      </c>
      <c r="I1220" s="18" t="s">
        <v>25</v>
      </c>
      <c r="J1220" t="s">
        <v>9</v>
      </c>
      <c r="K1220" s="17" t="s">
        <v>101</v>
      </c>
      <c r="L1220" s="22" t="s">
        <v>12</v>
      </c>
      <c r="M1220" t="s">
        <v>10</v>
      </c>
    </row>
    <row r="1221" spans="1:13" x14ac:dyDescent="0.25">
      <c r="A1221" t="s">
        <v>127</v>
      </c>
      <c r="B1221" s="16" t="s">
        <v>18</v>
      </c>
      <c r="C1221" t="s">
        <v>18</v>
      </c>
      <c r="D1221" t="str">
        <f t="shared" si="26"/>
        <v>VENUS-Virgo-Virgo</v>
      </c>
      <c r="E1221" s="17" t="s">
        <v>98</v>
      </c>
      <c r="F1221" s="18" t="s">
        <v>7</v>
      </c>
      <c r="G1221" s="19" t="s">
        <v>18</v>
      </c>
      <c r="H1221" s="20" t="s">
        <v>105</v>
      </c>
      <c r="I1221" s="18" t="s">
        <v>23</v>
      </c>
      <c r="J1221" t="s">
        <v>9</v>
      </c>
      <c r="K1221" s="17" t="s">
        <v>103</v>
      </c>
      <c r="L1221" s="18" t="s">
        <v>9</v>
      </c>
      <c r="M1221" t="s">
        <v>10</v>
      </c>
    </row>
    <row r="1222" spans="1:13" x14ac:dyDescent="0.25">
      <c r="A1222" t="s">
        <v>127</v>
      </c>
      <c r="B1222" s="16" t="s">
        <v>18</v>
      </c>
      <c r="C1222" t="s">
        <v>10</v>
      </c>
      <c r="D1222" t="str">
        <f t="shared" si="26"/>
        <v>VENUS-Virgo-Libra</v>
      </c>
      <c r="E1222" s="17" t="s">
        <v>100</v>
      </c>
      <c r="F1222" s="18" t="s">
        <v>29</v>
      </c>
      <c r="G1222" s="19" t="s">
        <v>18</v>
      </c>
      <c r="H1222" s="20" t="s">
        <v>106</v>
      </c>
      <c r="I1222" s="18" t="s">
        <v>21</v>
      </c>
      <c r="J1222" t="s">
        <v>9</v>
      </c>
      <c r="K1222" s="17" t="s">
        <v>98</v>
      </c>
      <c r="L1222" s="18" t="s">
        <v>7</v>
      </c>
      <c r="M1222" t="s">
        <v>10</v>
      </c>
    </row>
    <row r="1223" spans="1:13" x14ac:dyDescent="0.25">
      <c r="A1223" t="s">
        <v>127</v>
      </c>
      <c r="B1223" s="16" t="s">
        <v>18</v>
      </c>
      <c r="C1223" t="s">
        <v>21</v>
      </c>
      <c r="D1223" t="str">
        <f t="shared" si="26"/>
        <v>VENUS-Virgo-Scorpio</v>
      </c>
      <c r="E1223" s="17" t="s">
        <v>102</v>
      </c>
      <c r="F1223" s="18" t="s">
        <v>27</v>
      </c>
      <c r="G1223" s="19" t="s">
        <v>18</v>
      </c>
      <c r="H1223" s="20" t="s">
        <v>107</v>
      </c>
      <c r="I1223" s="18" t="s">
        <v>10</v>
      </c>
      <c r="J1223" t="s">
        <v>9</v>
      </c>
      <c r="K1223" s="17" t="s">
        <v>100</v>
      </c>
      <c r="L1223" s="18" t="s">
        <v>29</v>
      </c>
      <c r="M1223" t="s">
        <v>10</v>
      </c>
    </row>
    <row r="1224" spans="1:13" x14ac:dyDescent="0.25">
      <c r="A1224" t="s">
        <v>127</v>
      </c>
      <c r="B1224" s="16" t="s">
        <v>18</v>
      </c>
      <c r="C1224" t="s">
        <v>23</v>
      </c>
      <c r="D1224" t="str">
        <f t="shared" si="26"/>
        <v>VENUS-Virgo-Sagittarius</v>
      </c>
      <c r="E1224" s="17" t="s">
        <v>104</v>
      </c>
      <c r="F1224" s="18" t="s">
        <v>25</v>
      </c>
      <c r="G1224" s="19" t="s">
        <v>18</v>
      </c>
      <c r="H1224" s="20" t="s">
        <v>108</v>
      </c>
      <c r="I1224" s="18" t="s">
        <v>18</v>
      </c>
      <c r="J1224" t="s">
        <v>9</v>
      </c>
      <c r="K1224" s="17" t="s">
        <v>102</v>
      </c>
      <c r="L1224" s="18" t="s">
        <v>27</v>
      </c>
      <c r="M1224" t="s">
        <v>10</v>
      </c>
    </row>
    <row r="1225" spans="1:13" x14ac:dyDescent="0.25">
      <c r="A1225" t="s">
        <v>127</v>
      </c>
      <c r="B1225" s="16" t="s">
        <v>18</v>
      </c>
      <c r="C1225" t="s">
        <v>25</v>
      </c>
      <c r="D1225" t="str">
        <f t="shared" si="26"/>
        <v>VENUS-Virgo-Capricorn</v>
      </c>
      <c r="E1225" s="17" t="s">
        <v>105</v>
      </c>
      <c r="F1225" s="18" t="s">
        <v>23</v>
      </c>
      <c r="G1225" s="19" t="s">
        <v>18</v>
      </c>
      <c r="H1225" s="20" t="s">
        <v>109</v>
      </c>
      <c r="I1225" s="18" t="s">
        <v>16</v>
      </c>
      <c r="J1225" t="s">
        <v>9</v>
      </c>
      <c r="K1225" s="17" t="s">
        <v>104</v>
      </c>
      <c r="L1225" s="18" t="s">
        <v>25</v>
      </c>
      <c r="M1225" t="s">
        <v>10</v>
      </c>
    </row>
    <row r="1226" spans="1:13" x14ac:dyDescent="0.25">
      <c r="A1226" t="s">
        <v>127</v>
      </c>
      <c r="B1226" s="16" t="s">
        <v>18</v>
      </c>
      <c r="C1226" t="s">
        <v>27</v>
      </c>
      <c r="D1226" t="str">
        <f t="shared" si="26"/>
        <v>VENUS-Virgo-Aquarius</v>
      </c>
      <c r="E1226" s="17" t="s">
        <v>106</v>
      </c>
      <c r="F1226" s="18" t="s">
        <v>21</v>
      </c>
      <c r="G1226" s="19" t="s">
        <v>18</v>
      </c>
      <c r="H1226" s="20" t="s">
        <v>99</v>
      </c>
      <c r="I1226" s="18" t="s">
        <v>14</v>
      </c>
      <c r="J1226" t="s">
        <v>9</v>
      </c>
      <c r="K1226" s="17" t="s">
        <v>105</v>
      </c>
      <c r="L1226" s="18" t="s">
        <v>23</v>
      </c>
      <c r="M1226" t="s">
        <v>10</v>
      </c>
    </row>
    <row r="1227" spans="1:13" x14ac:dyDescent="0.25">
      <c r="A1227" t="s">
        <v>127</v>
      </c>
      <c r="B1227" s="16" t="s">
        <v>18</v>
      </c>
      <c r="C1227" t="s">
        <v>29</v>
      </c>
      <c r="D1227" t="str">
        <f t="shared" si="26"/>
        <v>VENUS-Virgo-Pisces</v>
      </c>
      <c r="E1227" s="17" t="s">
        <v>107</v>
      </c>
      <c r="F1227" s="18" t="s">
        <v>10</v>
      </c>
      <c r="G1227" s="19" t="s">
        <v>18</v>
      </c>
      <c r="H1227" s="20" t="s">
        <v>101</v>
      </c>
      <c r="I1227" s="18" t="s">
        <v>12</v>
      </c>
      <c r="J1227" t="s">
        <v>9</v>
      </c>
      <c r="K1227" s="17" t="s">
        <v>106</v>
      </c>
      <c r="L1227" s="18" t="s">
        <v>21</v>
      </c>
      <c r="M1227" t="s">
        <v>10</v>
      </c>
    </row>
    <row r="1228" spans="1:13" x14ac:dyDescent="0.25">
      <c r="A1228" t="s">
        <v>127</v>
      </c>
      <c r="B1228" s="16" t="s">
        <v>10</v>
      </c>
      <c r="C1228" t="s">
        <v>7</v>
      </c>
      <c r="D1228" t="str">
        <f t="shared" si="26"/>
        <v>VENUS-Libra-Aries</v>
      </c>
      <c r="E1228" s="17" t="s">
        <v>107</v>
      </c>
      <c r="F1228" s="18" t="s">
        <v>10</v>
      </c>
      <c r="G1228" s="19" t="s">
        <v>10</v>
      </c>
      <c r="H1228" s="20" t="s">
        <v>103</v>
      </c>
      <c r="I1228" s="18" t="s">
        <v>9</v>
      </c>
      <c r="J1228" t="s">
        <v>9</v>
      </c>
      <c r="K1228" s="17" t="s">
        <v>107</v>
      </c>
      <c r="L1228" s="22" t="s">
        <v>10</v>
      </c>
      <c r="M1228" t="s">
        <v>10</v>
      </c>
    </row>
    <row r="1229" spans="1:13" x14ac:dyDescent="0.25">
      <c r="A1229" t="s">
        <v>127</v>
      </c>
      <c r="B1229" s="16" t="s">
        <v>10</v>
      </c>
      <c r="C1229" t="s">
        <v>9</v>
      </c>
      <c r="D1229" t="str">
        <f t="shared" si="26"/>
        <v>VENUS-Libra-Taurus</v>
      </c>
      <c r="E1229" s="17" t="s">
        <v>108</v>
      </c>
      <c r="F1229" s="18" t="s">
        <v>18</v>
      </c>
      <c r="G1229" s="19" t="s">
        <v>10</v>
      </c>
      <c r="H1229" s="20" t="s">
        <v>98</v>
      </c>
      <c r="I1229" s="18" t="s">
        <v>7</v>
      </c>
      <c r="J1229" t="s">
        <v>9</v>
      </c>
      <c r="K1229" s="17" t="s">
        <v>108</v>
      </c>
      <c r="L1229" s="22" t="s">
        <v>18</v>
      </c>
      <c r="M1229" t="s">
        <v>10</v>
      </c>
    </row>
    <row r="1230" spans="1:13" x14ac:dyDescent="0.25">
      <c r="A1230" t="s">
        <v>127</v>
      </c>
      <c r="B1230" s="16" t="s">
        <v>10</v>
      </c>
      <c r="C1230" t="s">
        <v>12</v>
      </c>
      <c r="D1230" t="str">
        <f t="shared" si="26"/>
        <v>VENUS-Libra-Gemini</v>
      </c>
      <c r="E1230" s="17" t="s">
        <v>109</v>
      </c>
      <c r="F1230" s="18" t="s">
        <v>16</v>
      </c>
      <c r="G1230" s="19" t="s">
        <v>10</v>
      </c>
      <c r="H1230" s="20" t="s">
        <v>100</v>
      </c>
      <c r="I1230" s="18" t="s">
        <v>29</v>
      </c>
      <c r="J1230" t="s">
        <v>9</v>
      </c>
      <c r="K1230" s="17" t="s">
        <v>109</v>
      </c>
      <c r="L1230" s="22" t="s">
        <v>16</v>
      </c>
      <c r="M1230" t="s">
        <v>10</v>
      </c>
    </row>
    <row r="1231" spans="1:13" x14ac:dyDescent="0.25">
      <c r="A1231" t="s">
        <v>127</v>
      </c>
      <c r="B1231" s="16" t="s">
        <v>10</v>
      </c>
      <c r="C1231" t="s">
        <v>14</v>
      </c>
      <c r="D1231" t="str">
        <f t="shared" si="26"/>
        <v>VENUS-Libra-Cancer</v>
      </c>
      <c r="E1231" s="17" t="s">
        <v>99</v>
      </c>
      <c r="F1231" s="18" t="s">
        <v>14</v>
      </c>
      <c r="G1231" s="19" t="s">
        <v>10</v>
      </c>
      <c r="H1231" s="20" t="s">
        <v>102</v>
      </c>
      <c r="I1231" s="18" t="s">
        <v>27</v>
      </c>
      <c r="J1231" t="s">
        <v>9</v>
      </c>
      <c r="K1231" s="17" t="s">
        <v>99</v>
      </c>
      <c r="L1231" s="22" t="s">
        <v>14</v>
      </c>
      <c r="M1231" t="s">
        <v>10</v>
      </c>
    </row>
    <row r="1232" spans="1:13" x14ac:dyDescent="0.25">
      <c r="A1232" t="s">
        <v>127</v>
      </c>
      <c r="B1232" s="16" t="s">
        <v>10</v>
      </c>
      <c r="C1232" t="s">
        <v>16</v>
      </c>
      <c r="D1232" t="str">
        <f t="shared" si="26"/>
        <v>VENUS-Libra-Leo</v>
      </c>
      <c r="E1232" s="17" t="s">
        <v>101</v>
      </c>
      <c r="F1232" s="18" t="s">
        <v>12</v>
      </c>
      <c r="G1232" s="19" t="s">
        <v>10</v>
      </c>
      <c r="H1232" s="20" t="s">
        <v>104</v>
      </c>
      <c r="I1232" s="18" t="s">
        <v>25</v>
      </c>
      <c r="J1232" t="s">
        <v>9</v>
      </c>
      <c r="K1232" s="17" t="s">
        <v>101</v>
      </c>
      <c r="L1232" s="22" t="s">
        <v>12</v>
      </c>
      <c r="M1232" t="s">
        <v>10</v>
      </c>
    </row>
    <row r="1233" spans="1:13" x14ac:dyDescent="0.25">
      <c r="A1233" t="s">
        <v>127</v>
      </c>
      <c r="B1233" s="16" t="s">
        <v>10</v>
      </c>
      <c r="C1233" t="s">
        <v>18</v>
      </c>
      <c r="D1233" t="str">
        <f t="shared" si="26"/>
        <v>VENUS-Libra-Virgo</v>
      </c>
      <c r="E1233" s="17" t="s">
        <v>103</v>
      </c>
      <c r="F1233" s="18" t="s">
        <v>9</v>
      </c>
      <c r="G1233" s="19" t="s">
        <v>10</v>
      </c>
      <c r="H1233" s="20" t="s">
        <v>105</v>
      </c>
      <c r="I1233" s="18" t="s">
        <v>23</v>
      </c>
      <c r="J1233" t="s">
        <v>9</v>
      </c>
      <c r="K1233" s="17" t="s">
        <v>103</v>
      </c>
      <c r="L1233" s="18" t="s">
        <v>9</v>
      </c>
      <c r="M1233" t="s">
        <v>10</v>
      </c>
    </row>
    <row r="1234" spans="1:13" x14ac:dyDescent="0.25">
      <c r="A1234" t="s">
        <v>127</v>
      </c>
      <c r="B1234" s="16" t="s">
        <v>10</v>
      </c>
      <c r="C1234" t="s">
        <v>10</v>
      </c>
      <c r="D1234" t="str">
        <f t="shared" si="26"/>
        <v>VENUS-Libra-Libra</v>
      </c>
      <c r="E1234" s="17" t="s">
        <v>98</v>
      </c>
      <c r="F1234" s="18" t="s">
        <v>7</v>
      </c>
      <c r="G1234" s="19" t="s">
        <v>10</v>
      </c>
      <c r="H1234" s="20" t="s">
        <v>106</v>
      </c>
      <c r="I1234" s="18" t="s">
        <v>21</v>
      </c>
      <c r="J1234" t="s">
        <v>9</v>
      </c>
      <c r="K1234" s="17" t="s">
        <v>98</v>
      </c>
      <c r="L1234" s="18" t="s">
        <v>7</v>
      </c>
      <c r="M1234" t="s">
        <v>10</v>
      </c>
    </row>
    <row r="1235" spans="1:13" x14ac:dyDescent="0.25">
      <c r="A1235" t="s">
        <v>127</v>
      </c>
      <c r="B1235" s="16" t="s">
        <v>10</v>
      </c>
      <c r="C1235" t="s">
        <v>21</v>
      </c>
      <c r="D1235" t="str">
        <f t="shared" si="26"/>
        <v>VENUS-Libra-Scorpio</v>
      </c>
      <c r="E1235" s="17" t="s">
        <v>100</v>
      </c>
      <c r="F1235" s="18" t="s">
        <v>29</v>
      </c>
      <c r="G1235" s="19" t="s">
        <v>10</v>
      </c>
      <c r="H1235" s="20" t="s">
        <v>107</v>
      </c>
      <c r="I1235" s="18" t="s">
        <v>10</v>
      </c>
      <c r="J1235" t="s">
        <v>9</v>
      </c>
      <c r="K1235" s="17" t="s">
        <v>100</v>
      </c>
      <c r="L1235" s="18" t="s">
        <v>29</v>
      </c>
      <c r="M1235" t="s">
        <v>10</v>
      </c>
    </row>
    <row r="1236" spans="1:13" x14ac:dyDescent="0.25">
      <c r="A1236" t="s">
        <v>127</v>
      </c>
      <c r="B1236" s="16" t="s">
        <v>10</v>
      </c>
      <c r="C1236" t="s">
        <v>23</v>
      </c>
      <c r="D1236" t="str">
        <f t="shared" si="26"/>
        <v>VENUS-Libra-Sagittarius</v>
      </c>
      <c r="E1236" s="17" t="s">
        <v>102</v>
      </c>
      <c r="F1236" s="18" t="s">
        <v>27</v>
      </c>
      <c r="G1236" s="19" t="s">
        <v>10</v>
      </c>
      <c r="H1236" s="20" t="s">
        <v>108</v>
      </c>
      <c r="I1236" s="18" t="s">
        <v>18</v>
      </c>
      <c r="J1236" t="s">
        <v>9</v>
      </c>
      <c r="K1236" s="17" t="s">
        <v>102</v>
      </c>
      <c r="L1236" s="18" t="s">
        <v>27</v>
      </c>
      <c r="M1236" t="s">
        <v>10</v>
      </c>
    </row>
    <row r="1237" spans="1:13" x14ac:dyDescent="0.25">
      <c r="A1237" t="s">
        <v>127</v>
      </c>
      <c r="B1237" s="16" t="s">
        <v>10</v>
      </c>
      <c r="C1237" t="s">
        <v>25</v>
      </c>
      <c r="D1237" t="str">
        <f t="shared" si="26"/>
        <v>VENUS-Libra-Capricorn</v>
      </c>
      <c r="E1237" s="17" t="s">
        <v>104</v>
      </c>
      <c r="F1237" s="18" t="s">
        <v>25</v>
      </c>
      <c r="G1237" s="19" t="s">
        <v>10</v>
      </c>
      <c r="H1237" s="20" t="s">
        <v>109</v>
      </c>
      <c r="I1237" s="18" t="s">
        <v>16</v>
      </c>
      <c r="J1237" t="s">
        <v>9</v>
      </c>
      <c r="K1237" s="17" t="s">
        <v>104</v>
      </c>
      <c r="L1237" s="18" t="s">
        <v>25</v>
      </c>
      <c r="M1237" t="s">
        <v>10</v>
      </c>
    </row>
    <row r="1238" spans="1:13" x14ac:dyDescent="0.25">
      <c r="A1238" t="s">
        <v>127</v>
      </c>
      <c r="B1238" s="16" t="s">
        <v>10</v>
      </c>
      <c r="C1238" t="s">
        <v>27</v>
      </c>
      <c r="D1238" t="str">
        <f t="shared" si="26"/>
        <v>VENUS-Libra-Aquarius</v>
      </c>
      <c r="E1238" s="17" t="s">
        <v>105</v>
      </c>
      <c r="F1238" s="18" t="s">
        <v>23</v>
      </c>
      <c r="G1238" s="19" t="s">
        <v>10</v>
      </c>
      <c r="H1238" s="20" t="s">
        <v>99</v>
      </c>
      <c r="I1238" s="18" t="s">
        <v>14</v>
      </c>
      <c r="J1238" t="s">
        <v>9</v>
      </c>
      <c r="K1238" s="17" t="s">
        <v>105</v>
      </c>
      <c r="L1238" s="18" t="s">
        <v>23</v>
      </c>
      <c r="M1238" t="s">
        <v>10</v>
      </c>
    </row>
    <row r="1239" spans="1:13" x14ac:dyDescent="0.25">
      <c r="A1239" t="s">
        <v>127</v>
      </c>
      <c r="B1239" s="16" t="s">
        <v>10</v>
      </c>
      <c r="C1239" t="s">
        <v>29</v>
      </c>
      <c r="D1239" t="str">
        <f t="shared" si="26"/>
        <v>VENUS-Libra-Pisces</v>
      </c>
      <c r="E1239" s="17" t="s">
        <v>106</v>
      </c>
      <c r="F1239" s="18" t="s">
        <v>21</v>
      </c>
      <c r="G1239" s="19" t="s">
        <v>10</v>
      </c>
      <c r="H1239" s="20" t="s">
        <v>101</v>
      </c>
      <c r="I1239" s="18" t="s">
        <v>12</v>
      </c>
      <c r="J1239" t="s">
        <v>9</v>
      </c>
      <c r="K1239" s="17" t="s">
        <v>106</v>
      </c>
      <c r="L1239" s="18" t="s">
        <v>21</v>
      </c>
      <c r="M1239" t="s">
        <v>10</v>
      </c>
    </row>
    <row r="1240" spans="1:13" x14ac:dyDescent="0.25">
      <c r="A1240" t="s">
        <v>127</v>
      </c>
      <c r="B1240" s="16" t="s">
        <v>21</v>
      </c>
      <c r="C1240" t="s">
        <v>7</v>
      </c>
      <c r="D1240" t="str">
        <f t="shared" si="26"/>
        <v>VENUS-Scorpio-Aries</v>
      </c>
      <c r="E1240" s="17" t="s">
        <v>106</v>
      </c>
      <c r="F1240" s="18" t="s">
        <v>21</v>
      </c>
      <c r="G1240" s="19" t="s">
        <v>21</v>
      </c>
      <c r="H1240" s="20" t="s">
        <v>103</v>
      </c>
      <c r="I1240" s="18" t="s">
        <v>9</v>
      </c>
      <c r="J1240" t="s">
        <v>9</v>
      </c>
      <c r="K1240" s="17" t="s">
        <v>107</v>
      </c>
      <c r="L1240" s="22" t="s">
        <v>10</v>
      </c>
      <c r="M1240" t="s">
        <v>10</v>
      </c>
    </row>
    <row r="1241" spans="1:13" x14ac:dyDescent="0.25">
      <c r="A1241" t="s">
        <v>127</v>
      </c>
      <c r="B1241" s="16" t="s">
        <v>21</v>
      </c>
      <c r="C1241" t="s">
        <v>9</v>
      </c>
      <c r="D1241" t="str">
        <f t="shared" si="26"/>
        <v>VENUS-Scorpio-Taurus</v>
      </c>
      <c r="E1241" s="17" t="s">
        <v>107</v>
      </c>
      <c r="F1241" s="18" t="s">
        <v>10</v>
      </c>
      <c r="G1241" s="19" t="s">
        <v>21</v>
      </c>
      <c r="H1241" s="20" t="s">
        <v>98</v>
      </c>
      <c r="I1241" s="18" t="s">
        <v>7</v>
      </c>
      <c r="J1241" t="s">
        <v>9</v>
      </c>
      <c r="K1241" s="17" t="s">
        <v>108</v>
      </c>
      <c r="L1241" s="22" t="s">
        <v>18</v>
      </c>
      <c r="M1241" t="s">
        <v>10</v>
      </c>
    </row>
    <row r="1242" spans="1:13" x14ac:dyDescent="0.25">
      <c r="A1242" t="s">
        <v>127</v>
      </c>
      <c r="B1242" s="16" t="s">
        <v>21</v>
      </c>
      <c r="C1242" t="s">
        <v>12</v>
      </c>
      <c r="D1242" t="str">
        <f t="shared" si="26"/>
        <v>VENUS-Scorpio-Gemini</v>
      </c>
      <c r="E1242" s="17" t="s">
        <v>108</v>
      </c>
      <c r="F1242" s="18" t="s">
        <v>18</v>
      </c>
      <c r="G1242" s="19" t="s">
        <v>21</v>
      </c>
      <c r="H1242" s="20" t="s">
        <v>100</v>
      </c>
      <c r="I1242" s="18" t="s">
        <v>29</v>
      </c>
      <c r="J1242" t="s">
        <v>9</v>
      </c>
      <c r="K1242" s="17" t="s">
        <v>109</v>
      </c>
      <c r="L1242" s="22" t="s">
        <v>16</v>
      </c>
      <c r="M1242" t="s">
        <v>10</v>
      </c>
    </row>
    <row r="1243" spans="1:13" x14ac:dyDescent="0.25">
      <c r="A1243" t="s">
        <v>127</v>
      </c>
      <c r="B1243" s="16" t="s">
        <v>21</v>
      </c>
      <c r="C1243" t="s">
        <v>14</v>
      </c>
      <c r="D1243" t="str">
        <f t="shared" si="26"/>
        <v>VENUS-Scorpio-Cancer</v>
      </c>
      <c r="E1243" s="17" t="s">
        <v>109</v>
      </c>
      <c r="F1243" s="18" t="s">
        <v>16</v>
      </c>
      <c r="G1243" s="19" t="s">
        <v>21</v>
      </c>
      <c r="H1243" s="20" t="s">
        <v>102</v>
      </c>
      <c r="I1243" s="18" t="s">
        <v>27</v>
      </c>
      <c r="J1243" t="s">
        <v>9</v>
      </c>
      <c r="K1243" s="17" t="s">
        <v>99</v>
      </c>
      <c r="L1243" s="22" t="s">
        <v>14</v>
      </c>
      <c r="M1243" t="s">
        <v>10</v>
      </c>
    </row>
    <row r="1244" spans="1:13" x14ac:dyDescent="0.25">
      <c r="A1244" t="s">
        <v>127</v>
      </c>
      <c r="B1244" s="16" t="s">
        <v>21</v>
      </c>
      <c r="C1244" t="s">
        <v>16</v>
      </c>
      <c r="D1244" t="str">
        <f t="shared" si="26"/>
        <v>VENUS-Scorpio-Leo</v>
      </c>
      <c r="E1244" s="17" t="s">
        <v>99</v>
      </c>
      <c r="F1244" s="18" t="s">
        <v>14</v>
      </c>
      <c r="G1244" s="19" t="s">
        <v>21</v>
      </c>
      <c r="H1244" s="20" t="s">
        <v>104</v>
      </c>
      <c r="I1244" s="18" t="s">
        <v>25</v>
      </c>
      <c r="J1244" t="s">
        <v>9</v>
      </c>
      <c r="K1244" s="17" t="s">
        <v>101</v>
      </c>
      <c r="L1244" s="22" t="s">
        <v>12</v>
      </c>
      <c r="M1244" t="s">
        <v>10</v>
      </c>
    </row>
    <row r="1245" spans="1:13" x14ac:dyDescent="0.25">
      <c r="A1245" t="s">
        <v>127</v>
      </c>
      <c r="B1245" s="16" t="s">
        <v>21</v>
      </c>
      <c r="C1245" t="s">
        <v>18</v>
      </c>
      <c r="D1245" t="str">
        <f t="shared" si="26"/>
        <v>VENUS-Scorpio-Virgo</v>
      </c>
      <c r="E1245" s="17" t="s">
        <v>101</v>
      </c>
      <c r="F1245" s="18" t="s">
        <v>12</v>
      </c>
      <c r="G1245" s="19" t="s">
        <v>21</v>
      </c>
      <c r="H1245" s="20" t="s">
        <v>105</v>
      </c>
      <c r="I1245" s="18" t="s">
        <v>23</v>
      </c>
      <c r="J1245" t="s">
        <v>9</v>
      </c>
      <c r="K1245" s="17" t="s">
        <v>103</v>
      </c>
      <c r="L1245" s="18" t="s">
        <v>9</v>
      </c>
      <c r="M1245" t="s">
        <v>10</v>
      </c>
    </row>
    <row r="1246" spans="1:13" x14ac:dyDescent="0.25">
      <c r="A1246" t="s">
        <v>127</v>
      </c>
      <c r="B1246" s="16" t="s">
        <v>21</v>
      </c>
      <c r="C1246" t="s">
        <v>10</v>
      </c>
      <c r="D1246" t="str">
        <f t="shared" si="26"/>
        <v>VENUS-Scorpio-Libra</v>
      </c>
      <c r="E1246" s="17" t="s">
        <v>103</v>
      </c>
      <c r="F1246" s="18" t="s">
        <v>9</v>
      </c>
      <c r="G1246" s="19" t="s">
        <v>21</v>
      </c>
      <c r="H1246" s="20" t="s">
        <v>106</v>
      </c>
      <c r="I1246" s="18" t="s">
        <v>21</v>
      </c>
      <c r="J1246" t="s">
        <v>9</v>
      </c>
      <c r="K1246" s="17" t="s">
        <v>98</v>
      </c>
      <c r="L1246" s="18" t="s">
        <v>7</v>
      </c>
      <c r="M1246" t="s">
        <v>10</v>
      </c>
    </row>
    <row r="1247" spans="1:13" x14ac:dyDescent="0.25">
      <c r="A1247" t="s">
        <v>127</v>
      </c>
      <c r="B1247" s="16" t="s">
        <v>21</v>
      </c>
      <c r="C1247" t="s">
        <v>21</v>
      </c>
      <c r="D1247" t="str">
        <f t="shared" si="26"/>
        <v>VENUS-Scorpio-Scorpio</v>
      </c>
      <c r="E1247" s="17" t="s">
        <v>98</v>
      </c>
      <c r="F1247" s="18" t="s">
        <v>7</v>
      </c>
      <c r="G1247" s="19" t="s">
        <v>21</v>
      </c>
      <c r="H1247" s="20" t="s">
        <v>107</v>
      </c>
      <c r="I1247" s="18" t="s">
        <v>10</v>
      </c>
      <c r="J1247" t="s">
        <v>9</v>
      </c>
      <c r="K1247" s="17" t="s">
        <v>100</v>
      </c>
      <c r="L1247" s="18" t="s">
        <v>29</v>
      </c>
      <c r="M1247" t="s">
        <v>10</v>
      </c>
    </row>
    <row r="1248" spans="1:13" x14ac:dyDescent="0.25">
      <c r="A1248" t="s">
        <v>127</v>
      </c>
      <c r="B1248" s="16" t="s">
        <v>21</v>
      </c>
      <c r="C1248" t="s">
        <v>23</v>
      </c>
      <c r="D1248" t="str">
        <f t="shared" si="26"/>
        <v>VENUS-Scorpio-Sagittarius</v>
      </c>
      <c r="E1248" s="17" t="s">
        <v>100</v>
      </c>
      <c r="F1248" s="18" t="s">
        <v>29</v>
      </c>
      <c r="G1248" s="19" t="s">
        <v>21</v>
      </c>
      <c r="H1248" s="20" t="s">
        <v>108</v>
      </c>
      <c r="I1248" s="18" t="s">
        <v>18</v>
      </c>
      <c r="J1248" t="s">
        <v>9</v>
      </c>
      <c r="K1248" s="17" t="s">
        <v>102</v>
      </c>
      <c r="L1248" s="18" t="s">
        <v>27</v>
      </c>
      <c r="M1248" t="s">
        <v>10</v>
      </c>
    </row>
    <row r="1249" spans="1:13" x14ac:dyDescent="0.25">
      <c r="A1249" t="s">
        <v>127</v>
      </c>
      <c r="B1249" s="16" t="s">
        <v>21</v>
      </c>
      <c r="C1249" t="s">
        <v>25</v>
      </c>
      <c r="D1249" t="str">
        <f t="shared" si="26"/>
        <v>VENUS-Scorpio-Capricorn</v>
      </c>
      <c r="E1249" s="17" t="s">
        <v>102</v>
      </c>
      <c r="F1249" s="18" t="s">
        <v>27</v>
      </c>
      <c r="G1249" s="19" t="s">
        <v>21</v>
      </c>
      <c r="H1249" s="20" t="s">
        <v>109</v>
      </c>
      <c r="I1249" s="18" t="s">
        <v>16</v>
      </c>
      <c r="J1249" t="s">
        <v>9</v>
      </c>
      <c r="K1249" s="17" t="s">
        <v>104</v>
      </c>
      <c r="L1249" s="18" t="s">
        <v>25</v>
      </c>
      <c r="M1249" t="s">
        <v>10</v>
      </c>
    </row>
    <row r="1250" spans="1:13" x14ac:dyDescent="0.25">
      <c r="A1250" t="s">
        <v>127</v>
      </c>
      <c r="B1250" s="16" t="s">
        <v>21</v>
      </c>
      <c r="C1250" t="s">
        <v>27</v>
      </c>
      <c r="D1250" t="str">
        <f t="shared" si="26"/>
        <v>VENUS-Scorpio-Aquarius</v>
      </c>
      <c r="E1250" s="17" t="s">
        <v>104</v>
      </c>
      <c r="F1250" s="18" t="s">
        <v>25</v>
      </c>
      <c r="G1250" s="19" t="s">
        <v>21</v>
      </c>
      <c r="H1250" s="20" t="s">
        <v>99</v>
      </c>
      <c r="I1250" s="18" t="s">
        <v>14</v>
      </c>
      <c r="J1250" t="s">
        <v>9</v>
      </c>
      <c r="K1250" s="17" t="s">
        <v>105</v>
      </c>
      <c r="L1250" s="18" t="s">
        <v>23</v>
      </c>
      <c r="M1250" t="s">
        <v>10</v>
      </c>
    </row>
    <row r="1251" spans="1:13" x14ac:dyDescent="0.25">
      <c r="A1251" t="s">
        <v>127</v>
      </c>
      <c r="B1251" s="16" t="s">
        <v>21</v>
      </c>
      <c r="C1251" t="s">
        <v>29</v>
      </c>
      <c r="D1251" t="str">
        <f t="shared" si="26"/>
        <v>VENUS-Scorpio-Pisces</v>
      </c>
      <c r="E1251" s="17" t="s">
        <v>105</v>
      </c>
      <c r="F1251" s="18" t="s">
        <v>23</v>
      </c>
      <c r="G1251" s="19" t="s">
        <v>21</v>
      </c>
      <c r="H1251" s="20" t="s">
        <v>101</v>
      </c>
      <c r="I1251" s="18" t="s">
        <v>12</v>
      </c>
      <c r="J1251" t="s">
        <v>9</v>
      </c>
      <c r="K1251" s="17" t="s">
        <v>106</v>
      </c>
      <c r="L1251" s="18" t="s">
        <v>21</v>
      </c>
      <c r="M1251" t="s">
        <v>10</v>
      </c>
    </row>
    <row r="1252" spans="1:13" x14ac:dyDescent="0.25">
      <c r="A1252" t="s">
        <v>127</v>
      </c>
      <c r="B1252" s="16" t="s">
        <v>23</v>
      </c>
      <c r="C1252" t="s">
        <v>7</v>
      </c>
      <c r="D1252" t="str">
        <f t="shared" ref="D1252:D1283" si="27">A1252&amp;"-"&amp;B1252&amp;"-"&amp;C1252</f>
        <v>VENUS-Sagittarius-Aries</v>
      </c>
      <c r="E1252" s="17" t="s">
        <v>105</v>
      </c>
      <c r="F1252" s="18" t="s">
        <v>23</v>
      </c>
      <c r="G1252" s="19" t="s">
        <v>23</v>
      </c>
      <c r="H1252" s="20" t="s">
        <v>103</v>
      </c>
      <c r="I1252" s="18" t="s">
        <v>9</v>
      </c>
      <c r="J1252" t="s">
        <v>9</v>
      </c>
      <c r="K1252" s="17" t="s">
        <v>107</v>
      </c>
      <c r="L1252" s="22" t="s">
        <v>10</v>
      </c>
      <c r="M1252" t="s">
        <v>10</v>
      </c>
    </row>
    <row r="1253" spans="1:13" x14ac:dyDescent="0.25">
      <c r="A1253" t="s">
        <v>127</v>
      </c>
      <c r="B1253" s="16" t="s">
        <v>23</v>
      </c>
      <c r="C1253" t="s">
        <v>9</v>
      </c>
      <c r="D1253" t="str">
        <f t="shared" si="27"/>
        <v>VENUS-Sagittarius-Taurus</v>
      </c>
      <c r="E1253" s="17" t="s">
        <v>106</v>
      </c>
      <c r="F1253" s="18" t="s">
        <v>21</v>
      </c>
      <c r="G1253" s="19" t="s">
        <v>23</v>
      </c>
      <c r="H1253" s="20" t="s">
        <v>98</v>
      </c>
      <c r="I1253" s="18" t="s">
        <v>7</v>
      </c>
      <c r="J1253" t="s">
        <v>9</v>
      </c>
      <c r="K1253" s="17" t="s">
        <v>108</v>
      </c>
      <c r="L1253" s="22" t="s">
        <v>18</v>
      </c>
      <c r="M1253" t="s">
        <v>10</v>
      </c>
    </row>
    <row r="1254" spans="1:13" x14ac:dyDescent="0.25">
      <c r="A1254" t="s">
        <v>127</v>
      </c>
      <c r="B1254" s="16" t="s">
        <v>23</v>
      </c>
      <c r="C1254" t="s">
        <v>12</v>
      </c>
      <c r="D1254" t="str">
        <f t="shared" si="27"/>
        <v>VENUS-Sagittarius-Gemini</v>
      </c>
      <c r="E1254" s="17" t="s">
        <v>107</v>
      </c>
      <c r="F1254" s="18" t="s">
        <v>10</v>
      </c>
      <c r="G1254" s="19" t="s">
        <v>23</v>
      </c>
      <c r="H1254" s="20" t="s">
        <v>100</v>
      </c>
      <c r="I1254" s="18" t="s">
        <v>29</v>
      </c>
      <c r="J1254" t="s">
        <v>9</v>
      </c>
      <c r="K1254" s="17" t="s">
        <v>109</v>
      </c>
      <c r="L1254" s="22" t="s">
        <v>16</v>
      </c>
      <c r="M1254" t="s">
        <v>10</v>
      </c>
    </row>
    <row r="1255" spans="1:13" x14ac:dyDescent="0.25">
      <c r="A1255" t="s">
        <v>127</v>
      </c>
      <c r="B1255" s="16" t="s">
        <v>23</v>
      </c>
      <c r="C1255" t="s">
        <v>14</v>
      </c>
      <c r="D1255" t="str">
        <f t="shared" si="27"/>
        <v>VENUS-Sagittarius-Cancer</v>
      </c>
      <c r="E1255" s="17" t="s">
        <v>108</v>
      </c>
      <c r="F1255" s="18" t="s">
        <v>18</v>
      </c>
      <c r="G1255" s="19" t="s">
        <v>23</v>
      </c>
      <c r="H1255" s="20" t="s">
        <v>102</v>
      </c>
      <c r="I1255" s="18" t="s">
        <v>27</v>
      </c>
      <c r="J1255" t="s">
        <v>9</v>
      </c>
      <c r="K1255" s="17" t="s">
        <v>99</v>
      </c>
      <c r="L1255" s="22" t="s">
        <v>14</v>
      </c>
      <c r="M1255" t="s">
        <v>10</v>
      </c>
    </row>
    <row r="1256" spans="1:13" x14ac:dyDescent="0.25">
      <c r="A1256" t="s">
        <v>127</v>
      </c>
      <c r="B1256" s="16" t="s">
        <v>23</v>
      </c>
      <c r="C1256" t="s">
        <v>16</v>
      </c>
      <c r="D1256" t="str">
        <f t="shared" si="27"/>
        <v>VENUS-Sagittarius-Leo</v>
      </c>
      <c r="E1256" s="17" t="s">
        <v>109</v>
      </c>
      <c r="F1256" s="18" t="s">
        <v>16</v>
      </c>
      <c r="G1256" s="19" t="s">
        <v>23</v>
      </c>
      <c r="H1256" s="20" t="s">
        <v>104</v>
      </c>
      <c r="I1256" s="18" t="s">
        <v>25</v>
      </c>
      <c r="J1256" t="s">
        <v>9</v>
      </c>
      <c r="K1256" s="17" t="s">
        <v>101</v>
      </c>
      <c r="L1256" s="22" t="s">
        <v>12</v>
      </c>
      <c r="M1256" t="s">
        <v>10</v>
      </c>
    </row>
    <row r="1257" spans="1:13" x14ac:dyDescent="0.25">
      <c r="A1257" t="s">
        <v>127</v>
      </c>
      <c r="B1257" s="16" t="s">
        <v>23</v>
      </c>
      <c r="C1257" t="s">
        <v>18</v>
      </c>
      <c r="D1257" t="str">
        <f t="shared" si="27"/>
        <v>VENUS-Sagittarius-Virgo</v>
      </c>
      <c r="E1257" s="17" t="s">
        <v>99</v>
      </c>
      <c r="F1257" s="18" t="s">
        <v>14</v>
      </c>
      <c r="G1257" s="19" t="s">
        <v>23</v>
      </c>
      <c r="H1257" s="20" t="s">
        <v>105</v>
      </c>
      <c r="I1257" s="18" t="s">
        <v>23</v>
      </c>
      <c r="J1257" t="s">
        <v>9</v>
      </c>
      <c r="K1257" s="17" t="s">
        <v>103</v>
      </c>
      <c r="L1257" s="18" t="s">
        <v>9</v>
      </c>
      <c r="M1257" t="s">
        <v>10</v>
      </c>
    </row>
    <row r="1258" spans="1:13" x14ac:dyDescent="0.25">
      <c r="A1258" t="s">
        <v>127</v>
      </c>
      <c r="B1258" s="16" t="s">
        <v>23</v>
      </c>
      <c r="C1258" t="s">
        <v>10</v>
      </c>
      <c r="D1258" t="str">
        <f t="shared" si="27"/>
        <v>VENUS-Sagittarius-Libra</v>
      </c>
      <c r="E1258" s="17" t="s">
        <v>101</v>
      </c>
      <c r="F1258" s="18" t="s">
        <v>12</v>
      </c>
      <c r="G1258" s="19" t="s">
        <v>23</v>
      </c>
      <c r="H1258" s="20" t="s">
        <v>106</v>
      </c>
      <c r="I1258" s="18" t="s">
        <v>21</v>
      </c>
      <c r="J1258" t="s">
        <v>9</v>
      </c>
      <c r="K1258" s="17" t="s">
        <v>98</v>
      </c>
      <c r="L1258" s="18" t="s">
        <v>7</v>
      </c>
      <c r="M1258" t="s">
        <v>10</v>
      </c>
    </row>
    <row r="1259" spans="1:13" x14ac:dyDescent="0.25">
      <c r="A1259" t="s">
        <v>127</v>
      </c>
      <c r="B1259" s="16" t="s">
        <v>23</v>
      </c>
      <c r="C1259" t="s">
        <v>21</v>
      </c>
      <c r="D1259" t="str">
        <f t="shared" si="27"/>
        <v>VENUS-Sagittarius-Scorpio</v>
      </c>
      <c r="E1259" s="17" t="s">
        <v>103</v>
      </c>
      <c r="F1259" s="18" t="s">
        <v>9</v>
      </c>
      <c r="G1259" s="19" t="s">
        <v>23</v>
      </c>
      <c r="H1259" s="20" t="s">
        <v>107</v>
      </c>
      <c r="I1259" s="18" t="s">
        <v>10</v>
      </c>
      <c r="J1259" t="s">
        <v>9</v>
      </c>
      <c r="K1259" s="17" t="s">
        <v>100</v>
      </c>
      <c r="L1259" s="18" t="s">
        <v>29</v>
      </c>
      <c r="M1259" t="s">
        <v>10</v>
      </c>
    </row>
    <row r="1260" spans="1:13" x14ac:dyDescent="0.25">
      <c r="A1260" t="s">
        <v>127</v>
      </c>
      <c r="B1260" s="16" t="s">
        <v>23</v>
      </c>
      <c r="C1260" t="s">
        <v>23</v>
      </c>
      <c r="D1260" t="str">
        <f t="shared" si="27"/>
        <v>VENUS-Sagittarius-Sagittarius</v>
      </c>
      <c r="E1260" s="17" t="s">
        <v>98</v>
      </c>
      <c r="F1260" s="18" t="s">
        <v>7</v>
      </c>
      <c r="G1260" s="19" t="s">
        <v>23</v>
      </c>
      <c r="H1260" s="20" t="s">
        <v>108</v>
      </c>
      <c r="I1260" s="18" t="s">
        <v>18</v>
      </c>
      <c r="J1260" t="s">
        <v>9</v>
      </c>
      <c r="K1260" s="17" t="s">
        <v>102</v>
      </c>
      <c r="L1260" s="18" t="s">
        <v>27</v>
      </c>
      <c r="M1260" t="s">
        <v>10</v>
      </c>
    </row>
    <row r="1261" spans="1:13" x14ac:dyDescent="0.25">
      <c r="A1261" t="s">
        <v>127</v>
      </c>
      <c r="B1261" s="16" t="s">
        <v>23</v>
      </c>
      <c r="C1261" t="s">
        <v>25</v>
      </c>
      <c r="D1261" t="str">
        <f t="shared" si="27"/>
        <v>VENUS-Sagittarius-Capricorn</v>
      </c>
      <c r="E1261" s="17" t="s">
        <v>100</v>
      </c>
      <c r="F1261" s="18" t="s">
        <v>29</v>
      </c>
      <c r="G1261" s="19" t="s">
        <v>23</v>
      </c>
      <c r="H1261" s="20" t="s">
        <v>109</v>
      </c>
      <c r="I1261" s="18" t="s">
        <v>16</v>
      </c>
      <c r="J1261" t="s">
        <v>9</v>
      </c>
      <c r="K1261" s="17" t="s">
        <v>104</v>
      </c>
      <c r="L1261" s="18" t="s">
        <v>25</v>
      </c>
      <c r="M1261" t="s">
        <v>10</v>
      </c>
    </row>
    <row r="1262" spans="1:13" x14ac:dyDescent="0.25">
      <c r="A1262" t="s">
        <v>127</v>
      </c>
      <c r="B1262" s="16" t="s">
        <v>23</v>
      </c>
      <c r="C1262" t="s">
        <v>27</v>
      </c>
      <c r="D1262" t="str">
        <f t="shared" si="27"/>
        <v>VENUS-Sagittarius-Aquarius</v>
      </c>
      <c r="E1262" s="17" t="s">
        <v>102</v>
      </c>
      <c r="F1262" s="18" t="s">
        <v>27</v>
      </c>
      <c r="G1262" s="19" t="s">
        <v>23</v>
      </c>
      <c r="H1262" s="20" t="s">
        <v>99</v>
      </c>
      <c r="I1262" s="18" t="s">
        <v>14</v>
      </c>
      <c r="J1262" t="s">
        <v>9</v>
      </c>
      <c r="K1262" s="17" t="s">
        <v>105</v>
      </c>
      <c r="L1262" s="18" t="s">
        <v>23</v>
      </c>
      <c r="M1262" t="s">
        <v>10</v>
      </c>
    </row>
    <row r="1263" spans="1:13" x14ac:dyDescent="0.25">
      <c r="A1263" t="s">
        <v>127</v>
      </c>
      <c r="B1263" s="16" t="s">
        <v>23</v>
      </c>
      <c r="C1263" t="s">
        <v>29</v>
      </c>
      <c r="D1263" t="str">
        <f t="shared" si="27"/>
        <v>VENUS-Sagittarius-Pisces</v>
      </c>
      <c r="E1263" s="17" t="s">
        <v>104</v>
      </c>
      <c r="F1263" s="18" t="s">
        <v>25</v>
      </c>
      <c r="G1263" s="19" t="s">
        <v>23</v>
      </c>
      <c r="H1263" s="20" t="s">
        <v>101</v>
      </c>
      <c r="I1263" s="18" t="s">
        <v>12</v>
      </c>
      <c r="J1263" t="s">
        <v>9</v>
      </c>
      <c r="K1263" s="17" t="s">
        <v>106</v>
      </c>
      <c r="L1263" s="18" t="s">
        <v>21</v>
      </c>
      <c r="M1263" t="s">
        <v>10</v>
      </c>
    </row>
    <row r="1264" spans="1:13" x14ac:dyDescent="0.25">
      <c r="A1264" t="s">
        <v>127</v>
      </c>
      <c r="B1264" s="16" t="s">
        <v>25</v>
      </c>
      <c r="C1264" t="s">
        <v>7</v>
      </c>
      <c r="D1264" t="str">
        <f t="shared" si="27"/>
        <v>VENUS-Capricorn-Aries</v>
      </c>
      <c r="E1264" s="17" t="s">
        <v>104</v>
      </c>
      <c r="F1264" s="18" t="s">
        <v>25</v>
      </c>
      <c r="G1264" s="19" t="s">
        <v>25</v>
      </c>
      <c r="H1264" s="20" t="s">
        <v>103</v>
      </c>
      <c r="I1264" s="18" t="s">
        <v>9</v>
      </c>
      <c r="J1264" t="s">
        <v>9</v>
      </c>
      <c r="K1264" s="17" t="s">
        <v>107</v>
      </c>
      <c r="L1264" s="22" t="s">
        <v>10</v>
      </c>
      <c r="M1264" t="s">
        <v>10</v>
      </c>
    </row>
    <row r="1265" spans="1:13" x14ac:dyDescent="0.25">
      <c r="A1265" t="s">
        <v>127</v>
      </c>
      <c r="B1265" s="16" t="s">
        <v>25</v>
      </c>
      <c r="C1265" t="s">
        <v>9</v>
      </c>
      <c r="D1265" t="str">
        <f t="shared" si="27"/>
        <v>VENUS-Capricorn-Taurus</v>
      </c>
      <c r="E1265" s="17" t="s">
        <v>105</v>
      </c>
      <c r="F1265" s="18" t="s">
        <v>23</v>
      </c>
      <c r="G1265" s="19" t="s">
        <v>25</v>
      </c>
      <c r="H1265" s="20" t="s">
        <v>98</v>
      </c>
      <c r="I1265" s="18" t="s">
        <v>7</v>
      </c>
      <c r="J1265" t="s">
        <v>9</v>
      </c>
      <c r="K1265" s="17" t="s">
        <v>108</v>
      </c>
      <c r="L1265" s="22" t="s">
        <v>18</v>
      </c>
      <c r="M1265" t="s">
        <v>10</v>
      </c>
    </row>
    <row r="1266" spans="1:13" x14ac:dyDescent="0.25">
      <c r="A1266" t="s">
        <v>127</v>
      </c>
      <c r="B1266" s="16" t="s">
        <v>25</v>
      </c>
      <c r="C1266" t="s">
        <v>12</v>
      </c>
      <c r="D1266" t="str">
        <f t="shared" si="27"/>
        <v>VENUS-Capricorn-Gemini</v>
      </c>
      <c r="E1266" s="17" t="s">
        <v>106</v>
      </c>
      <c r="F1266" s="18" t="s">
        <v>21</v>
      </c>
      <c r="G1266" s="19" t="s">
        <v>25</v>
      </c>
      <c r="H1266" s="20" t="s">
        <v>100</v>
      </c>
      <c r="I1266" s="18" t="s">
        <v>29</v>
      </c>
      <c r="J1266" t="s">
        <v>9</v>
      </c>
      <c r="K1266" s="17" t="s">
        <v>109</v>
      </c>
      <c r="L1266" s="22" t="s">
        <v>16</v>
      </c>
      <c r="M1266" t="s">
        <v>10</v>
      </c>
    </row>
    <row r="1267" spans="1:13" x14ac:dyDescent="0.25">
      <c r="A1267" t="s">
        <v>127</v>
      </c>
      <c r="B1267" s="16" t="s">
        <v>25</v>
      </c>
      <c r="C1267" t="s">
        <v>14</v>
      </c>
      <c r="D1267" t="str">
        <f t="shared" si="27"/>
        <v>VENUS-Capricorn-Cancer</v>
      </c>
      <c r="E1267" s="17" t="s">
        <v>107</v>
      </c>
      <c r="F1267" s="18" t="s">
        <v>10</v>
      </c>
      <c r="G1267" s="19" t="s">
        <v>25</v>
      </c>
      <c r="H1267" s="20" t="s">
        <v>102</v>
      </c>
      <c r="I1267" s="18" t="s">
        <v>27</v>
      </c>
      <c r="J1267" t="s">
        <v>9</v>
      </c>
      <c r="K1267" s="17" t="s">
        <v>99</v>
      </c>
      <c r="L1267" s="22" t="s">
        <v>14</v>
      </c>
      <c r="M1267" t="s">
        <v>10</v>
      </c>
    </row>
    <row r="1268" spans="1:13" x14ac:dyDescent="0.25">
      <c r="A1268" t="s">
        <v>127</v>
      </c>
      <c r="B1268" s="16" t="s">
        <v>25</v>
      </c>
      <c r="C1268" t="s">
        <v>16</v>
      </c>
      <c r="D1268" t="str">
        <f t="shared" si="27"/>
        <v>VENUS-Capricorn-Leo</v>
      </c>
      <c r="E1268" s="17" t="s">
        <v>108</v>
      </c>
      <c r="F1268" s="18" t="s">
        <v>18</v>
      </c>
      <c r="G1268" s="19" t="s">
        <v>25</v>
      </c>
      <c r="H1268" s="20" t="s">
        <v>104</v>
      </c>
      <c r="I1268" s="18" t="s">
        <v>25</v>
      </c>
      <c r="J1268" t="s">
        <v>9</v>
      </c>
      <c r="K1268" s="17" t="s">
        <v>101</v>
      </c>
      <c r="L1268" s="22" t="s">
        <v>12</v>
      </c>
      <c r="M1268" t="s">
        <v>10</v>
      </c>
    </row>
    <row r="1269" spans="1:13" x14ac:dyDescent="0.25">
      <c r="A1269" t="s">
        <v>127</v>
      </c>
      <c r="B1269" s="16" t="s">
        <v>25</v>
      </c>
      <c r="C1269" t="s">
        <v>18</v>
      </c>
      <c r="D1269" t="str">
        <f t="shared" si="27"/>
        <v>VENUS-Capricorn-Virgo</v>
      </c>
      <c r="E1269" s="17" t="s">
        <v>109</v>
      </c>
      <c r="F1269" s="18" t="s">
        <v>16</v>
      </c>
      <c r="G1269" s="19" t="s">
        <v>25</v>
      </c>
      <c r="H1269" s="20" t="s">
        <v>105</v>
      </c>
      <c r="I1269" s="18" t="s">
        <v>23</v>
      </c>
      <c r="J1269" t="s">
        <v>9</v>
      </c>
      <c r="K1269" s="17" t="s">
        <v>103</v>
      </c>
      <c r="L1269" s="18" t="s">
        <v>9</v>
      </c>
      <c r="M1269" t="s">
        <v>10</v>
      </c>
    </row>
    <row r="1270" spans="1:13" x14ac:dyDescent="0.25">
      <c r="A1270" t="s">
        <v>127</v>
      </c>
      <c r="B1270" s="16" t="s">
        <v>25</v>
      </c>
      <c r="C1270" t="s">
        <v>10</v>
      </c>
      <c r="D1270" t="str">
        <f t="shared" si="27"/>
        <v>VENUS-Capricorn-Libra</v>
      </c>
      <c r="E1270" s="17" t="s">
        <v>99</v>
      </c>
      <c r="F1270" s="18" t="s">
        <v>14</v>
      </c>
      <c r="G1270" s="19" t="s">
        <v>25</v>
      </c>
      <c r="H1270" s="20" t="s">
        <v>106</v>
      </c>
      <c r="I1270" s="18" t="s">
        <v>21</v>
      </c>
      <c r="J1270" t="s">
        <v>9</v>
      </c>
      <c r="K1270" s="17" t="s">
        <v>98</v>
      </c>
      <c r="L1270" s="18" t="s">
        <v>7</v>
      </c>
      <c r="M1270" t="s">
        <v>10</v>
      </c>
    </row>
    <row r="1271" spans="1:13" x14ac:dyDescent="0.25">
      <c r="A1271" t="s">
        <v>127</v>
      </c>
      <c r="B1271" s="16" t="s">
        <v>25</v>
      </c>
      <c r="C1271" t="s">
        <v>21</v>
      </c>
      <c r="D1271" t="str">
        <f t="shared" si="27"/>
        <v>VENUS-Capricorn-Scorpio</v>
      </c>
      <c r="E1271" s="17" t="s">
        <v>101</v>
      </c>
      <c r="F1271" s="18" t="s">
        <v>12</v>
      </c>
      <c r="G1271" s="19" t="s">
        <v>25</v>
      </c>
      <c r="H1271" s="20" t="s">
        <v>107</v>
      </c>
      <c r="I1271" s="18" t="s">
        <v>10</v>
      </c>
      <c r="J1271" t="s">
        <v>9</v>
      </c>
      <c r="K1271" s="17" t="s">
        <v>100</v>
      </c>
      <c r="L1271" s="18" t="s">
        <v>29</v>
      </c>
      <c r="M1271" t="s">
        <v>10</v>
      </c>
    </row>
    <row r="1272" spans="1:13" x14ac:dyDescent="0.25">
      <c r="A1272" t="s">
        <v>127</v>
      </c>
      <c r="B1272" s="16" t="s">
        <v>25</v>
      </c>
      <c r="C1272" t="s">
        <v>23</v>
      </c>
      <c r="D1272" t="str">
        <f t="shared" si="27"/>
        <v>VENUS-Capricorn-Sagittarius</v>
      </c>
      <c r="E1272" s="17" t="s">
        <v>103</v>
      </c>
      <c r="F1272" s="18" t="s">
        <v>9</v>
      </c>
      <c r="G1272" s="19" t="s">
        <v>25</v>
      </c>
      <c r="H1272" s="20" t="s">
        <v>108</v>
      </c>
      <c r="I1272" s="18" t="s">
        <v>18</v>
      </c>
      <c r="J1272" t="s">
        <v>9</v>
      </c>
      <c r="K1272" s="17" t="s">
        <v>102</v>
      </c>
      <c r="L1272" s="18" t="s">
        <v>27</v>
      </c>
      <c r="M1272" t="s">
        <v>10</v>
      </c>
    </row>
    <row r="1273" spans="1:13" x14ac:dyDescent="0.25">
      <c r="A1273" t="s">
        <v>127</v>
      </c>
      <c r="B1273" s="16" t="s">
        <v>25</v>
      </c>
      <c r="C1273" t="s">
        <v>25</v>
      </c>
      <c r="D1273" t="str">
        <f t="shared" si="27"/>
        <v>VENUS-Capricorn-Capricorn</v>
      </c>
      <c r="E1273" s="17" t="s">
        <v>98</v>
      </c>
      <c r="F1273" s="18" t="s">
        <v>7</v>
      </c>
      <c r="G1273" s="19" t="s">
        <v>25</v>
      </c>
      <c r="H1273" s="20" t="s">
        <v>109</v>
      </c>
      <c r="I1273" s="18" t="s">
        <v>16</v>
      </c>
      <c r="J1273" t="s">
        <v>9</v>
      </c>
      <c r="K1273" s="17" t="s">
        <v>104</v>
      </c>
      <c r="L1273" s="18" t="s">
        <v>25</v>
      </c>
      <c r="M1273" t="s">
        <v>10</v>
      </c>
    </row>
    <row r="1274" spans="1:13" x14ac:dyDescent="0.25">
      <c r="A1274" t="s">
        <v>127</v>
      </c>
      <c r="B1274" s="16" t="s">
        <v>25</v>
      </c>
      <c r="C1274" t="s">
        <v>27</v>
      </c>
      <c r="D1274" t="str">
        <f t="shared" si="27"/>
        <v>VENUS-Capricorn-Aquarius</v>
      </c>
      <c r="E1274" s="17" t="s">
        <v>100</v>
      </c>
      <c r="F1274" s="18" t="s">
        <v>29</v>
      </c>
      <c r="G1274" s="19" t="s">
        <v>25</v>
      </c>
      <c r="H1274" s="20" t="s">
        <v>99</v>
      </c>
      <c r="I1274" s="18" t="s">
        <v>14</v>
      </c>
      <c r="J1274" t="s">
        <v>9</v>
      </c>
      <c r="K1274" s="17" t="s">
        <v>105</v>
      </c>
      <c r="L1274" s="18" t="s">
        <v>23</v>
      </c>
      <c r="M1274" t="s">
        <v>10</v>
      </c>
    </row>
    <row r="1275" spans="1:13" x14ac:dyDescent="0.25">
      <c r="A1275" t="s">
        <v>127</v>
      </c>
      <c r="B1275" s="16" t="s">
        <v>25</v>
      </c>
      <c r="C1275" t="s">
        <v>29</v>
      </c>
      <c r="D1275" t="str">
        <f t="shared" si="27"/>
        <v>VENUS-Capricorn-Pisces</v>
      </c>
      <c r="E1275" s="17" t="s">
        <v>102</v>
      </c>
      <c r="F1275" s="18" t="s">
        <v>27</v>
      </c>
      <c r="G1275" s="19" t="s">
        <v>25</v>
      </c>
      <c r="H1275" s="20" t="s">
        <v>101</v>
      </c>
      <c r="I1275" s="18" t="s">
        <v>12</v>
      </c>
      <c r="J1275" t="s">
        <v>9</v>
      </c>
      <c r="K1275" s="17" t="s">
        <v>106</v>
      </c>
      <c r="L1275" s="18" t="s">
        <v>21</v>
      </c>
      <c r="M1275" t="s">
        <v>10</v>
      </c>
    </row>
    <row r="1276" spans="1:13" x14ac:dyDescent="0.25">
      <c r="A1276" t="s">
        <v>127</v>
      </c>
      <c r="B1276" s="16" t="s">
        <v>27</v>
      </c>
      <c r="C1276" t="s">
        <v>7</v>
      </c>
      <c r="D1276" t="str">
        <f t="shared" si="27"/>
        <v>VENUS-Aquarius-Aries</v>
      </c>
      <c r="E1276" s="17" t="s">
        <v>102</v>
      </c>
      <c r="F1276" s="18" t="s">
        <v>27</v>
      </c>
      <c r="G1276" s="19" t="s">
        <v>27</v>
      </c>
      <c r="H1276" s="20" t="s">
        <v>103</v>
      </c>
      <c r="I1276" s="18" t="s">
        <v>9</v>
      </c>
      <c r="J1276" t="s">
        <v>9</v>
      </c>
      <c r="K1276" s="17" t="s">
        <v>107</v>
      </c>
      <c r="L1276" s="22" t="s">
        <v>10</v>
      </c>
      <c r="M1276" t="s">
        <v>10</v>
      </c>
    </row>
    <row r="1277" spans="1:13" x14ac:dyDescent="0.25">
      <c r="A1277" t="s">
        <v>127</v>
      </c>
      <c r="B1277" s="16" t="s">
        <v>27</v>
      </c>
      <c r="C1277" t="s">
        <v>9</v>
      </c>
      <c r="D1277" t="str">
        <f t="shared" si="27"/>
        <v>VENUS-Aquarius-Taurus</v>
      </c>
      <c r="E1277" s="17" t="s">
        <v>104</v>
      </c>
      <c r="F1277" s="18" t="s">
        <v>25</v>
      </c>
      <c r="G1277" s="19" t="s">
        <v>27</v>
      </c>
      <c r="H1277" s="20" t="s">
        <v>98</v>
      </c>
      <c r="I1277" s="18" t="s">
        <v>7</v>
      </c>
      <c r="J1277" t="s">
        <v>9</v>
      </c>
      <c r="K1277" s="17" t="s">
        <v>108</v>
      </c>
      <c r="L1277" s="22" t="s">
        <v>18</v>
      </c>
      <c r="M1277" t="s">
        <v>10</v>
      </c>
    </row>
    <row r="1278" spans="1:13" x14ac:dyDescent="0.25">
      <c r="A1278" t="s">
        <v>127</v>
      </c>
      <c r="B1278" s="16" t="s">
        <v>27</v>
      </c>
      <c r="C1278" t="s">
        <v>12</v>
      </c>
      <c r="D1278" t="str">
        <f t="shared" si="27"/>
        <v>VENUS-Aquarius-Gemini</v>
      </c>
      <c r="E1278" s="17" t="s">
        <v>105</v>
      </c>
      <c r="F1278" s="18" t="s">
        <v>23</v>
      </c>
      <c r="G1278" s="19" t="s">
        <v>27</v>
      </c>
      <c r="H1278" s="20" t="s">
        <v>100</v>
      </c>
      <c r="I1278" s="18" t="s">
        <v>29</v>
      </c>
      <c r="J1278" t="s">
        <v>9</v>
      </c>
      <c r="K1278" s="17" t="s">
        <v>109</v>
      </c>
      <c r="L1278" s="22" t="s">
        <v>16</v>
      </c>
      <c r="M1278" t="s">
        <v>10</v>
      </c>
    </row>
    <row r="1279" spans="1:13" x14ac:dyDescent="0.25">
      <c r="A1279" t="s">
        <v>127</v>
      </c>
      <c r="B1279" s="16" t="s">
        <v>27</v>
      </c>
      <c r="C1279" t="s">
        <v>14</v>
      </c>
      <c r="D1279" t="str">
        <f t="shared" si="27"/>
        <v>VENUS-Aquarius-Cancer</v>
      </c>
      <c r="E1279" s="17" t="s">
        <v>106</v>
      </c>
      <c r="F1279" s="18" t="s">
        <v>21</v>
      </c>
      <c r="G1279" s="19" t="s">
        <v>27</v>
      </c>
      <c r="H1279" s="20" t="s">
        <v>102</v>
      </c>
      <c r="I1279" s="18" t="s">
        <v>27</v>
      </c>
      <c r="J1279" t="s">
        <v>9</v>
      </c>
      <c r="K1279" s="17" t="s">
        <v>99</v>
      </c>
      <c r="L1279" s="22" t="s">
        <v>14</v>
      </c>
      <c r="M1279" t="s">
        <v>10</v>
      </c>
    </row>
    <row r="1280" spans="1:13" x14ac:dyDescent="0.25">
      <c r="A1280" t="s">
        <v>127</v>
      </c>
      <c r="B1280" s="16" t="s">
        <v>27</v>
      </c>
      <c r="C1280" t="s">
        <v>16</v>
      </c>
      <c r="D1280" t="str">
        <f t="shared" si="27"/>
        <v>VENUS-Aquarius-Leo</v>
      </c>
      <c r="E1280" s="17" t="s">
        <v>107</v>
      </c>
      <c r="F1280" s="18" t="s">
        <v>10</v>
      </c>
      <c r="G1280" s="19" t="s">
        <v>27</v>
      </c>
      <c r="H1280" s="20" t="s">
        <v>104</v>
      </c>
      <c r="I1280" s="18" t="s">
        <v>25</v>
      </c>
      <c r="J1280" t="s">
        <v>9</v>
      </c>
      <c r="K1280" s="17" t="s">
        <v>101</v>
      </c>
      <c r="L1280" s="22" t="s">
        <v>12</v>
      </c>
      <c r="M1280" t="s">
        <v>10</v>
      </c>
    </row>
    <row r="1281" spans="1:13" x14ac:dyDescent="0.25">
      <c r="A1281" t="s">
        <v>127</v>
      </c>
      <c r="B1281" s="16" t="s">
        <v>27</v>
      </c>
      <c r="C1281" t="s">
        <v>18</v>
      </c>
      <c r="D1281" t="str">
        <f t="shared" si="27"/>
        <v>VENUS-Aquarius-Virgo</v>
      </c>
      <c r="E1281" s="17" t="s">
        <v>108</v>
      </c>
      <c r="F1281" s="18" t="s">
        <v>18</v>
      </c>
      <c r="G1281" s="19" t="s">
        <v>27</v>
      </c>
      <c r="H1281" s="20" t="s">
        <v>105</v>
      </c>
      <c r="I1281" s="18" t="s">
        <v>23</v>
      </c>
      <c r="J1281" t="s">
        <v>9</v>
      </c>
      <c r="K1281" s="17" t="s">
        <v>103</v>
      </c>
      <c r="L1281" s="18" t="s">
        <v>9</v>
      </c>
      <c r="M1281" t="s">
        <v>10</v>
      </c>
    </row>
    <row r="1282" spans="1:13" x14ac:dyDescent="0.25">
      <c r="A1282" t="s">
        <v>127</v>
      </c>
      <c r="B1282" s="16" t="s">
        <v>27</v>
      </c>
      <c r="C1282" t="s">
        <v>10</v>
      </c>
      <c r="D1282" t="str">
        <f t="shared" si="27"/>
        <v>VENUS-Aquarius-Libra</v>
      </c>
      <c r="E1282" s="17" t="s">
        <v>109</v>
      </c>
      <c r="F1282" s="18" t="s">
        <v>16</v>
      </c>
      <c r="G1282" s="19" t="s">
        <v>27</v>
      </c>
      <c r="H1282" s="20" t="s">
        <v>106</v>
      </c>
      <c r="I1282" s="18" t="s">
        <v>21</v>
      </c>
      <c r="J1282" t="s">
        <v>9</v>
      </c>
      <c r="K1282" s="17" t="s">
        <v>98</v>
      </c>
      <c r="L1282" s="18" t="s">
        <v>7</v>
      </c>
      <c r="M1282" t="s">
        <v>10</v>
      </c>
    </row>
    <row r="1283" spans="1:13" x14ac:dyDescent="0.25">
      <c r="A1283" t="s">
        <v>127</v>
      </c>
      <c r="B1283" s="16" t="s">
        <v>27</v>
      </c>
      <c r="C1283" t="s">
        <v>21</v>
      </c>
      <c r="D1283" t="str">
        <f t="shared" si="27"/>
        <v>VENUS-Aquarius-Scorpio</v>
      </c>
      <c r="E1283" s="17" t="s">
        <v>99</v>
      </c>
      <c r="F1283" s="18" t="s">
        <v>14</v>
      </c>
      <c r="G1283" s="19" t="s">
        <v>27</v>
      </c>
      <c r="H1283" s="20" t="s">
        <v>107</v>
      </c>
      <c r="I1283" s="18" t="s">
        <v>10</v>
      </c>
      <c r="J1283" t="s">
        <v>9</v>
      </c>
      <c r="K1283" s="17" t="s">
        <v>100</v>
      </c>
      <c r="L1283" s="18" t="s">
        <v>29</v>
      </c>
      <c r="M1283" t="s">
        <v>10</v>
      </c>
    </row>
    <row r="1284" spans="1:13" x14ac:dyDescent="0.25">
      <c r="A1284" t="s">
        <v>127</v>
      </c>
      <c r="B1284" s="16" t="s">
        <v>27</v>
      </c>
      <c r="C1284" t="s">
        <v>23</v>
      </c>
      <c r="D1284" t="str">
        <f t="shared" ref="D1284:D1300" si="28">A1284&amp;"-"&amp;B1284&amp;"-"&amp;C1284</f>
        <v>VENUS-Aquarius-Sagittarius</v>
      </c>
      <c r="E1284" s="17" t="s">
        <v>101</v>
      </c>
      <c r="F1284" s="18" t="s">
        <v>12</v>
      </c>
      <c r="G1284" s="19" t="s">
        <v>27</v>
      </c>
      <c r="H1284" s="20" t="s">
        <v>108</v>
      </c>
      <c r="I1284" s="18" t="s">
        <v>18</v>
      </c>
      <c r="J1284" t="s">
        <v>9</v>
      </c>
      <c r="K1284" s="17" t="s">
        <v>102</v>
      </c>
      <c r="L1284" s="18" t="s">
        <v>27</v>
      </c>
      <c r="M1284" t="s">
        <v>10</v>
      </c>
    </row>
    <row r="1285" spans="1:13" x14ac:dyDescent="0.25">
      <c r="A1285" t="s">
        <v>127</v>
      </c>
      <c r="B1285" s="16" t="s">
        <v>27</v>
      </c>
      <c r="C1285" t="s">
        <v>25</v>
      </c>
      <c r="D1285" t="str">
        <f t="shared" si="28"/>
        <v>VENUS-Aquarius-Capricorn</v>
      </c>
      <c r="E1285" s="17" t="s">
        <v>103</v>
      </c>
      <c r="F1285" s="18" t="s">
        <v>9</v>
      </c>
      <c r="G1285" s="19" t="s">
        <v>27</v>
      </c>
      <c r="H1285" s="20" t="s">
        <v>109</v>
      </c>
      <c r="I1285" s="18" t="s">
        <v>16</v>
      </c>
      <c r="J1285" t="s">
        <v>9</v>
      </c>
      <c r="K1285" s="17" t="s">
        <v>104</v>
      </c>
      <c r="L1285" s="18" t="s">
        <v>25</v>
      </c>
      <c r="M1285" t="s">
        <v>10</v>
      </c>
    </row>
    <row r="1286" spans="1:13" x14ac:dyDescent="0.25">
      <c r="A1286" t="s">
        <v>127</v>
      </c>
      <c r="B1286" s="16" t="s">
        <v>27</v>
      </c>
      <c r="C1286" t="s">
        <v>27</v>
      </c>
      <c r="D1286" t="str">
        <f t="shared" si="28"/>
        <v>VENUS-Aquarius-Aquarius</v>
      </c>
      <c r="E1286" s="17" t="s">
        <v>98</v>
      </c>
      <c r="F1286" s="18" t="s">
        <v>7</v>
      </c>
      <c r="G1286" s="19" t="s">
        <v>27</v>
      </c>
      <c r="H1286" s="20" t="s">
        <v>99</v>
      </c>
      <c r="I1286" s="18" t="s">
        <v>14</v>
      </c>
      <c r="J1286" t="s">
        <v>9</v>
      </c>
      <c r="K1286" s="17" t="s">
        <v>105</v>
      </c>
      <c r="L1286" s="18" t="s">
        <v>23</v>
      </c>
      <c r="M1286" t="s">
        <v>10</v>
      </c>
    </row>
    <row r="1287" spans="1:13" x14ac:dyDescent="0.25">
      <c r="A1287" t="s">
        <v>127</v>
      </c>
      <c r="B1287" s="16" t="s">
        <v>27</v>
      </c>
      <c r="C1287" t="s">
        <v>29</v>
      </c>
      <c r="D1287" t="str">
        <f t="shared" si="28"/>
        <v>VENUS-Aquarius-Pisces</v>
      </c>
      <c r="E1287" s="17" t="s">
        <v>100</v>
      </c>
      <c r="F1287" s="18" t="s">
        <v>29</v>
      </c>
      <c r="G1287" s="19" t="s">
        <v>27</v>
      </c>
      <c r="H1287" s="20" t="s">
        <v>101</v>
      </c>
      <c r="I1287" s="18" t="s">
        <v>12</v>
      </c>
      <c r="J1287" t="s">
        <v>9</v>
      </c>
      <c r="K1287" s="17" t="s">
        <v>106</v>
      </c>
      <c r="L1287" s="18" t="s">
        <v>21</v>
      </c>
      <c r="M1287" t="s">
        <v>10</v>
      </c>
    </row>
    <row r="1288" spans="1:13" x14ac:dyDescent="0.25">
      <c r="A1288" t="s">
        <v>127</v>
      </c>
      <c r="B1288" s="16" t="s">
        <v>29</v>
      </c>
      <c r="C1288" t="s">
        <v>7</v>
      </c>
      <c r="D1288" t="str">
        <f t="shared" si="28"/>
        <v>VENUS-Pisces-Aries</v>
      </c>
      <c r="E1288" s="17" t="s">
        <v>100</v>
      </c>
      <c r="F1288" s="18" t="s">
        <v>29</v>
      </c>
      <c r="G1288" s="19" t="s">
        <v>29</v>
      </c>
      <c r="H1288" s="20" t="s">
        <v>103</v>
      </c>
      <c r="I1288" s="18" t="s">
        <v>9</v>
      </c>
      <c r="J1288" t="s">
        <v>9</v>
      </c>
      <c r="K1288" s="17" t="s">
        <v>107</v>
      </c>
      <c r="L1288" s="22" t="s">
        <v>10</v>
      </c>
      <c r="M1288" t="s">
        <v>10</v>
      </c>
    </row>
    <row r="1289" spans="1:13" x14ac:dyDescent="0.25">
      <c r="A1289" t="s">
        <v>127</v>
      </c>
      <c r="B1289" s="16" t="s">
        <v>29</v>
      </c>
      <c r="C1289" t="s">
        <v>9</v>
      </c>
      <c r="D1289" t="str">
        <f t="shared" si="28"/>
        <v>VENUS-Pisces-Taurus</v>
      </c>
      <c r="E1289" s="17" t="s">
        <v>102</v>
      </c>
      <c r="F1289" s="18" t="s">
        <v>27</v>
      </c>
      <c r="G1289" s="19" t="s">
        <v>29</v>
      </c>
      <c r="H1289" s="20" t="s">
        <v>98</v>
      </c>
      <c r="I1289" s="18" t="s">
        <v>7</v>
      </c>
      <c r="J1289" t="s">
        <v>9</v>
      </c>
      <c r="K1289" s="17" t="s">
        <v>108</v>
      </c>
      <c r="L1289" s="22" t="s">
        <v>18</v>
      </c>
      <c r="M1289" t="s">
        <v>10</v>
      </c>
    </row>
    <row r="1290" spans="1:13" x14ac:dyDescent="0.25">
      <c r="A1290" t="s">
        <v>127</v>
      </c>
      <c r="B1290" s="16" t="s">
        <v>29</v>
      </c>
      <c r="C1290" t="s">
        <v>12</v>
      </c>
      <c r="D1290" t="str">
        <f t="shared" si="28"/>
        <v>VENUS-Pisces-Gemini</v>
      </c>
      <c r="E1290" s="17" t="s">
        <v>104</v>
      </c>
      <c r="F1290" s="18" t="s">
        <v>25</v>
      </c>
      <c r="G1290" s="19" t="s">
        <v>29</v>
      </c>
      <c r="H1290" s="20" t="s">
        <v>100</v>
      </c>
      <c r="I1290" s="18" t="s">
        <v>29</v>
      </c>
      <c r="J1290" t="s">
        <v>9</v>
      </c>
      <c r="K1290" s="17" t="s">
        <v>109</v>
      </c>
      <c r="L1290" s="22" t="s">
        <v>16</v>
      </c>
      <c r="M1290" t="s">
        <v>10</v>
      </c>
    </row>
    <row r="1291" spans="1:13" x14ac:dyDescent="0.25">
      <c r="A1291" t="s">
        <v>127</v>
      </c>
      <c r="B1291" s="16" t="s">
        <v>29</v>
      </c>
      <c r="C1291" t="s">
        <v>14</v>
      </c>
      <c r="D1291" t="str">
        <f t="shared" si="28"/>
        <v>VENUS-Pisces-Cancer</v>
      </c>
      <c r="E1291" s="17" t="s">
        <v>105</v>
      </c>
      <c r="F1291" s="18" t="s">
        <v>23</v>
      </c>
      <c r="G1291" s="19" t="s">
        <v>29</v>
      </c>
      <c r="H1291" s="20" t="s">
        <v>102</v>
      </c>
      <c r="I1291" s="18" t="s">
        <v>27</v>
      </c>
      <c r="J1291" t="s">
        <v>9</v>
      </c>
      <c r="K1291" s="17" t="s">
        <v>99</v>
      </c>
      <c r="L1291" s="22" t="s">
        <v>14</v>
      </c>
      <c r="M1291" t="s">
        <v>10</v>
      </c>
    </row>
    <row r="1292" spans="1:13" x14ac:dyDescent="0.25">
      <c r="A1292" t="s">
        <v>127</v>
      </c>
      <c r="B1292" s="16" t="s">
        <v>29</v>
      </c>
      <c r="C1292" t="s">
        <v>16</v>
      </c>
      <c r="D1292" t="str">
        <f t="shared" si="28"/>
        <v>VENUS-Pisces-Leo</v>
      </c>
      <c r="E1292" s="17" t="s">
        <v>106</v>
      </c>
      <c r="F1292" s="18" t="s">
        <v>21</v>
      </c>
      <c r="G1292" s="19" t="s">
        <v>29</v>
      </c>
      <c r="H1292" s="20" t="s">
        <v>104</v>
      </c>
      <c r="I1292" s="18" t="s">
        <v>25</v>
      </c>
      <c r="J1292" t="s">
        <v>9</v>
      </c>
      <c r="K1292" s="17" t="s">
        <v>101</v>
      </c>
      <c r="L1292" s="22" t="s">
        <v>12</v>
      </c>
      <c r="M1292" t="s">
        <v>10</v>
      </c>
    </row>
    <row r="1293" spans="1:13" x14ac:dyDescent="0.25">
      <c r="A1293" t="s">
        <v>127</v>
      </c>
      <c r="B1293" s="16" t="s">
        <v>29</v>
      </c>
      <c r="C1293" t="s">
        <v>18</v>
      </c>
      <c r="D1293" t="str">
        <f t="shared" si="28"/>
        <v>VENUS-Pisces-Virgo</v>
      </c>
      <c r="E1293" s="17" t="s">
        <v>107</v>
      </c>
      <c r="F1293" s="18" t="s">
        <v>10</v>
      </c>
      <c r="G1293" s="19" t="s">
        <v>29</v>
      </c>
      <c r="H1293" s="20" t="s">
        <v>105</v>
      </c>
      <c r="I1293" s="18" t="s">
        <v>23</v>
      </c>
      <c r="J1293" t="s">
        <v>9</v>
      </c>
      <c r="K1293" s="17" t="s">
        <v>103</v>
      </c>
      <c r="L1293" s="18" t="s">
        <v>9</v>
      </c>
      <c r="M1293" t="s">
        <v>10</v>
      </c>
    </row>
    <row r="1294" spans="1:13" x14ac:dyDescent="0.25">
      <c r="A1294" t="s">
        <v>127</v>
      </c>
      <c r="B1294" s="16" t="s">
        <v>29</v>
      </c>
      <c r="C1294" t="s">
        <v>10</v>
      </c>
      <c r="D1294" t="str">
        <f t="shared" si="28"/>
        <v>VENUS-Pisces-Libra</v>
      </c>
      <c r="E1294" s="17" t="s">
        <v>108</v>
      </c>
      <c r="F1294" s="18" t="s">
        <v>18</v>
      </c>
      <c r="G1294" s="19" t="s">
        <v>29</v>
      </c>
      <c r="H1294" s="20" t="s">
        <v>106</v>
      </c>
      <c r="I1294" s="18" t="s">
        <v>21</v>
      </c>
      <c r="J1294" t="s">
        <v>9</v>
      </c>
      <c r="K1294" s="17" t="s">
        <v>98</v>
      </c>
      <c r="L1294" s="18" t="s">
        <v>7</v>
      </c>
      <c r="M1294" t="s">
        <v>10</v>
      </c>
    </row>
    <row r="1295" spans="1:13" x14ac:dyDescent="0.25">
      <c r="A1295" t="s">
        <v>127</v>
      </c>
      <c r="B1295" s="16" t="s">
        <v>29</v>
      </c>
      <c r="C1295" t="s">
        <v>21</v>
      </c>
      <c r="D1295" t="str">
        <f t="shared" si="28"/>
        <v>VENUS-Pisces-Scorpio</v>
      </c>
      <c r="E1295" s="17" t="s">
        <v>109</v>
      </c>
      <c r="F1295" s="18" t="s">
        <v>16</v>
      </c>
      <c r="G1295" s="19" t="s">
        <v>29</v>
      </c>
      <c r="H1295" s="20" t="s">
        <v>107</v>
      </c>
      <c r="I1295" s="18" t="s">
        <v>10</v>
      </c>
      <c r="J1295" t="s">
        <v>9</v>
      </c>
      <c r="K1295" s="17" t="s">
        <v>100</v>
      </c>
      <c r="L1295" s="18" t="s">
        <v>29</v>
      </c>
      <c r="M1295" t="s">
        <v>10</v>
      </c>
    </row>
    <row r="1296" spans="1:13" x14ac:dyDescent="0.25">
      <c r="A1296" t="s">
        <v>127</v>
      </c>
      <c r="B1296" s="16" t="s">
        <v>29</v>
      </c>
      <c r="C1296" t="s">
        <v>23</v>
      </c>
      <c r="D1296" t="str">
        <f t="shared" si="28"/>
        <v>VENUS-Pisces-Sagittarius</v>
      </c>
      <c r="E1296" s="17" t="s">
        <v>99</v>
      </c>
      <c r="F1296" s="18" t="s">
        <v>14</v>
      </c>
      <c r="G1296" s="19" t="s">
        <v>29</v>
      </c>
      <c r="H1296" s="20" t="s">
        <v>108</v>
      </c>
      <c r="I1296" s="18" t="s">
        <v>18</v>
      </c>
      <c r="J1296" t="s">
        <v>9</v>
      </c>
      <c r="K1296" s="17" t="s">
        <v>102</v>
      </c>
      <c r="L1296" s="18" t="s">
        <v>27</v>
      </c>
      <c r="M1296" t="s">
        <v>10</v>
      </c>
    </row>
    <row r="1297" spans="1:13" x14ac:dyDescent="0.25">
      <c r="A1297" t="s">
        <v>127</v>
      </c>
      <c r="B1297" s="16" t="s">
        <v>29</v>
      </c>
      <c r="C1297" t="s">
        <v>25</v>
      </c>
      <c r="D1297" t="str">
        <f t="shared" si="28"/>
        <v>VENUS-Pisces-Capricorn</v>
      </c>
      <c r="E1297" s="17" t="s">
        <v>101</v>
      </c>
      <c r="F1297" s="18" t="s">
        <v>12</v>
      </c>
      <c r="G1297" s="19" t="s">
        <v>29</v>
      </c>
      <c r="H1297" s="20" t="s">
        <v>109</v>
      </c>
      <c r="I1297" s="18" t="s">
        <v>16</v>
      </c>
      <c r="J1297" t="s">
        <v>9</v>
      </c>
      <c r="K1297" s="17" t="s">
        <v>104</v>
      </c>
      <c r="L1297" s="18" t="s">
        <v>25</v>
      </c>
      <c r="M1297" t="s">
        <v>10</v>
      </c>
    </row>
    <row r="1298" spans="1:13" x14ac:dyDescent="0.25">
      <c r="A1298" t="s">
        <v>127</v>
      </c>
      <c r="B1298" s="16" t="s">
        <v>29</v>
      </c>
      <c r="C1298" t="s">
        <v>27</v>
      </c>
      <c r="D1298" t="str">
        <f t="shared" si="28"/>
        <v>VENUS-Pisces-Aquarius</v>
      </c>
      <c r="E1298" s="17" t="s">
        <v>103</v>
      </c>
      <c r="F1298" s="18" t="s">
        <v>9</v>
      </c>
      <c r="G1298" s="19" t="s">
        <v>29</v>
      </c>
      <c r="H1298" s="20" t="s">
        <v>99</v>
      </c>
      <c r="I1298" s="18" t="s">
        <v>14</v>
      </c>
      <c r="J1298" t="s">
        <v>9</v>
      </c>
      <c r="K1298" s="17" t="s">
        <v>105</v>
      </c>
      <c r="L1298" s="18" t="s">
        <v>23</v>
      </c>
      <c r="M1298" t="s">
        <v>10</v>
      </c>
    </row>
    <row r="1299" spans="1:13" x14ac:dyDescent="0.25">
      <c r="A1299" t="s">
        <v>127</v>
      </c>
      <c r="B1299" s="16" t="s">
        <v>29</v>
      </c>
      <c r="C1299" t="s">
        <v>29</v>
      </c>
      <c r="D1299" t="str">
        <f t="shared" si="28"/>
        <v>VENUS-Pisces-Pisces</v>
      </c>
      <c r="E1299" s="17" t="s">
        <v>98</v>
      </c>
      <c r="F1299" s="18" t="s">
        <v>7</v>
      </c>
      <c r="G1299" s="19" t="s">
        <v>29</v>
      </c>
      <c r="H1299" s="20" t="s">
        <v>101</v>
      </c>
      <c r="I1299" s="18" t="s">
        <v>12</v>
      </c>
      <c r="J1299" t="s">
        <v>9</v>
      </c>
      <c r="K1299" s="17" t="s">
        <v>106</v>
      </c>
      <c r="L1299" s="18" t="s">
        <v>21</v>
      </c>
      <c r="M1299" t="s">
        <v>10</v>
      </c>
    </row>
    <row r="1300" spans="1:13" x14ac:dyDescent="0.25">
      <c r="A1300" t="s">
        <v>67</v>
      </c>
      <c r="B1300" s="16" t="s">
        <v>7</v>
      </c>
      <c r="C1300" t="s">
        <v>7</v>
      </c>
      <c r="D1300" t="str">
        <f t="shared" si="28"/>
        <v>MERCURY-Aries-Aries</v>
      </c>
      <c r="E1300" s="17" t="s">
        <v>98</v>
      </c>
      <c r="F1300" s="18" t="s">
        <v>7</v>
      </c>
      <c r="G1300" s="19" t="s">
        <v>7</v>
      </c>
      <c r="H1300" s="20" t="s">
        <v>101</v>
      </c>
      <c r="I1300" s="18" t="s">
        <v>12</v>
      </c>
      <c r="J1300" t="s">
        <v>12</v>
      </c>
      <c r="K1300" s="17" t="s">
        <v>108</v>
      </c>
      <c r="L1300" s="18" t="s">
        <v>18</v>
      </c>
      <c r="M1300" t="s">
        <v>18</v>
      </c>
    </row>
    <row r="1301" spans="1:13" x14ac:dyDescent="0.25">
      <c r="A1301" t="s">
        <v>67</v>
      </c>
      <c r="B1301" s="16" t="s">
        <v>7</v>
      </c>
      <c r="C1301" t="s">
        <v>9</v>
      </c>
      <c r="D1301" t="str">
        <f t="shared" ref="D1301:D1364" si="29">A1301&amp;"-"&amp;B1301&amp;"-"&amp;C1301</f>
        <v>MERCURY-Aries-Taurus</v>
      </c>
      <c r="E1301" s="17" t="s">
        <v>100</v>
      </c>
      <c r="F1301" s="18" t="s">
        <v>29</v>
      </c>
      <c r="G1301" s="19" t="s">
        <v>7</v>
      </c>
      <c r="H1301" s="20" t="s">
        <v>103</v>
      </c>
      <c r="I1301" s="18" t="s">
        <v>9</v>
      </c>
      <c r="J1301" t="s">
        <v>12</v>
      </c>
      <c r="K1301" s="17" t="s">
        <v>109</v>
      </c>
      <c r="L1301" s="18" t="s">
        <v>16</v>
      </c>
      <c r="M1301" t="s">
        <v>18</v>
      </c>
    </row>
    <row r="1302" spans="1:13" x14ac:dyDescent="0.25">
      <c r="A1302" t="s">
        <v>67</v>
      </c>
      <c r="B1302" s="16" t="s">
        <v>7</v>
      </c>
      <c r="C1302" t="s">
        <v>12</v>
      </c>
      <c r="D1302" t="str">
        <f t="shared" si="29"/>
        <v>MERCURY-Aries-Gemini</v>
      </c>
      <c r="E1302" s="17" t="s">
        <v>102</v>
      </c>
      <c r="F1302" s="18" t="s">
        <v>27</v>
      </c>
      <c r="G1302" s="19" t="s">
        <v>7</v>
      </c>
      <c r="H1302" s="20" t="s">
        <v>98</v>
      </c>
      <c r="I1302" s="18" t="s">
        <v>7</v>
      </c>
      <c r="J1302" t="s">
        <v>12</v>
      </c>
      <c r="K1302" s="17" t="s">
        <v>99</v>
      </c>
      <c r="L1302" s="18" t="s">
        <v>14</v>
      </c>
      <c r="M1302" t="s">
        <v>18</v>
      </c>
    </row>
    <row r="1303" spans="1:13" x14ac:dyDescent="0.25">
      <c r="A1303" t="s">
        <v>67</v>
      </c>
      <c r="B1303" s="16" t="s">
        <v>7</v>
      </c>
      <c r="C1303" t="s">
        <v>14</v>
      </c>
      <c r="D1303" t="str">
        <f t="shared" si="29"/>
        <v>MERCURY-Aries-Cancer</v>
      </c>
      <c r="E1303" s="17" t="s">
        <v>104</v>
      </c>
      <c r="F1303" s="18" t="s">
        <v>25</v>
      </c>
      <c r="G1303" s="19" t="s">
        <v>7</v>
      </c>
      <c r="H1303" s="20" t="s">
        <v>100</v>
      </c>
      <c r="I1303" s="18" t="s">
        <v>29</v>
      </c>
      <c r="J1303" t="s">
        <v>12</v>
      </c>
      <c r="K1303" s="17" t="s">
        <v>101</v>
      </c>
      <c r="L1303" s="18" t="s">
        <v>12</v>
      </c>
      <c r="M1303" t="s">
        <v>18</v>
      </c>
    </row>
    <row r="1304" spans="1:13" x14ac:dyDescent="0.25">
      <c r="A1304" t="s">
        <v>67</v>
      </c>
      <c r="B1304" s="16" t="s">
        <v>7</v>
      </c>
      <c r="C1304" t="s">
        <v>16</v>
      </c>
      <c r="D1304" t="str">
        <f t="shared" si="29"/>
        <v>MERCURY-Aries-Leo</v>
      </c>
      <c r="E1304" s="17" t="s">
        <v>105</v>
      </c>
      <c r="F1304" s="18" t="s">
        <v>23</v>
      </c>
      <c r="G1304" s="19" t="s">
        <v>7</v>
      </c>
      <c r="H1304" s="20" t="s">
        <v>102</v>
      </c>
      <c r="I1304" s="18" t="s">
        <v>27</v>
      </c>
      <c r="J1304" t="s">
        <v>12</v>
      </c>
      <c r="K1304" s="17" t="s">
        <v>103</v>
      </c>
      <c r="L1304" s="18" t="s">
        <v>9</v>
      </c>
      <c r="M1304" t="s">
        <v>18</v>
      </c>
    </row>
    <row r="1305" spans="1:13" x14ac:dyDescent="0.25">
      <c r="A1305" t="s">
        <v>67</v>
      </c>
      <c r="B1305" s="16" t="s">
        <v>7</v>
      </c>
      <c r="C1305" t="s">
        <v>18</v>
      </c>
      <c r="D1305" t="str">
        <f t="shared" si="29"/>
        <v>MERCURY-Aries-Virgo</v>
      </c>
      <c r="E1305" s="17" t="s">
        <v>106</v>
      </c>
      <c r="F1305" s="18" t="s">
        <v>21</v>
      </c>
      <c r="G1305" s="19" t="s">
        <v>7</v>
      </c>
      <c r="H1305" s="20" t="s">
        <v>104</v>
      </c>
      <c r="I1305" s="18" t="s">
        <v>25</v>
      </c>
      <c r="J1305" t="s">
        <v>12</v>
      </c>
      <c r="K1305" s="17" t="s">
        <v>98</v>
      </c>
      <c r="L1305" s="18" t="s">
        <v>7</v>
      </c>
      <c r="M1305" t="s">
        <v>18</v>
      </c>
    </row>
    <row r="1306" spans="1:13" x14ac:dyDescent="0.25">
      <c r="A1306" t="s">
        <v>67</v>
      </c>
      <c r="B1306" s="16" t="s">
        <v>7</v>
      </c>
      <c r="C1306" t="s">
        <v>10</v>
      </c>
      <c r="D1306" t="str">
        <f t="shared" si="29"/>
        <v>MERCURY-Aries-Libra</v>
      </c>
      <c r="E1306" s="17" t="s">
        <v>107</v>
      </c>
      <c r="F1306" s="18" t="s">
        <v>10</v>
      </c>
      <c r="G1306" s="19" t="s">
        <v>7</v>
      </c>
      <c r="H1306" s="20" t="s">
        <v>105</v>
      </c>
      <c r="I1306" s="18" t="s">
        <v>23</v>
      </c>
      <c r="J1306" t="s">
        <v>12</v>
      </c>
      <c r="K1306" s="17" t="s">
        <v>100</v>
      </c>
      <c r="L1306" s="18" t="s">
        <v>29</v>
      </c>
      <c r="M1306" t="s">
        <v>18</v>
      </c>
    </row>
    <row r="1307" spans="1:13" x14ac:dyDescent="0.25">
      <c r="A1307" t="s">
        <v>67</v>
      </c>
      <c r="B1307" s="16" t="s">
        <v>7</v>
      </c>
      <c r="C1307" t="s">
        <v>21</v>
      </c>
      <c r="D1307" t="str">
        <f t="shared" si="29"/>
        <v>MERCURY-Aries-Scorpio</v>
      </c>
      <c r="E1307" s="17" t="s">
        <v>108</v>
      </c>
      <c r="F1307" s="18" t="s">
        <v>18</v>
      </c>
      <c r="G1307" s="19" t="s">
        <v>7</v>
      </c>
      <c r="H1307" s="20" t="s">
        <v>106</v>
      </c>
      <c r="I1307" s="18" t="s">
        <v>21</v>
      </c>
      <c r="J1307" t="s">
        <v>12</v>
      </c>
      <c r="K1307" s="17" t="s">
        <v>102</v>
      </c>
      <c r="L1307" s="18" t="s">
        <v>27</v>
      </c>
      <c r="M1307" t="s">
        <v>18</v>
      </c>
    </row>
    <row r="1308" spans="1:13" x14ac:dyDescent="0.25">
      <c r="A1308" t="s">
        <v>67</v>
      </c>
      <c r="B1308" s="16" t="s">
        <v>7</v>
      </c>
      <c r="C1308" t="s">
        <v>23</v>
      </c>
      <c r="D1308" t="str">
        <f t="shared" si="29"/>
        <v>MERCURY-Aries-Sagittarius</v>
      </c>
      <c r="E1308" s="17" t="s">
        <v>109</v>
      </c>
      <c r="F1308" s="18" t="s">
        <v>16</v>
      </c>
      <c r="G1308" s="19" t="s">
        <v>7</v>
      </c>
      <c r="H1308" s="20" t="s">
        <v>107</v>
      </c>
      <c r="I1308" s="18" t="s">
        <v>10</v>
      </c>
      <c r="J1308" t="s">
        <v>12</v>
      </c>
      <c r="K1308" s="17" t="s">
        <v>104</v>
      </c>
      <c r="L1308" s="18" t="s">
        <v>25</v>
      </c>
      <c r="M1308" t="s">
        <v>18</v>
      </c>
    </row>
    <row r="1309" spans="1:13" x14ac:dyDescent="0.25">
      <c r="A1309" t="s">
        <v>67</v>
      </c>
      <c r="B1309" s="16" t="s">
        <v>7</v>
      </c>
      <c r="C1309" t="s">
        <v>25</v>
      </c>
      <c r="D1309" t="str">
        <f t="shared" si="29"/>
        <v>MERCURY-Aries-Capricorn</v>
      </c>
      <c r="E1309" s="17" t="s">
        <v>99</v>
      </c>
      <c r="F1309" s="18" t="s">
        <v>14</v>
      </c>
      <c r="G1309" s="19" t="s">
        <v>7</v>
      </c>
      <c r="H1309" s="20" t="s">
        <v>108</v>
      </c>
      <c r="I1309" s="18" t="s">
        <v>18</v>
      </c>
      <c r="J1309" t="s">
        <v>12</v>
      </c>
      <c r="K1309" s="17" t="s">
        <v>105</v>
      </c>
      <c r="L1309" s="18" t="s">
        <v>23</v>
      </c>
      <c r="M1309" t="s">
        <v>18</v>
      </c>
    </row>
    <row r="1310" spans="1:13" x14ac:dyDescent="0.25">
      <c r="A1310" t="s">
        <v>67</v>
      </c>
      <c r="B1310" s="16" t="s">
        <v>7</v>
      </c>
      <c r="C1310" t="s">
        <v>27</v>
      </c>
      <c r="D1310" t="str">
        <f t="shared" si="29"/>
        <v>MERCURY-Aries-Aquarius</v>
      </c>
      <c r="E1310" s="17" t="s">
        <v>101</v>
      </c>
      <c r="F1310" s="18" t="s">
        <v>12</v>
      </c>
      <c r="G1310" s="19" t="s">
        <v>7</v>
      </c>
      <c r="H1310" s="20" t="s">
        <v>109</v>
      </c>
      <c r="I1310" s="18" t="s">
        <v>16</v>
      </c>
      <c r="J1310" t="s">
        <v>12</v>
      </c>
      <c r="K1310" s="17" t="s">
        <v>106</v>
      </c>
      <c r="L1310" s="18" t="s">
        <v>21</v>
      </c>
      <c r="M1310" t="s">
        <v>18</v>
      </c>
    </row>
    <row r="1311" spans="1:13" x14ac:dyDescent="0.25">
      <c r="A1311" t="s">
        <v>67</v>
      </c>
      <c r="B1311" s="16" t="s">
        <v>7</v>
      </c>
      <c r="C1311" t="s">
        <v>29</v>
      </c>
      <c r="D1311" t="str">
        <f t="shared" si="29"/>
        <v>MERCURY-Aries-Pisces</v>
      </c>
      <c r="E1311" s="17" t="s">
        <v>103</v>
      </c>
      <c r="F1311" s="18" t="s">
        <v>9</v>
      </c>
      <c r="G1311" s="19" t="s">
        <v>7</v>
      </c>
      <c r="H1311" s="20" t="s">
        <v>99</v>
      </c>
      <c r="I1311" s="18" t="s">
        <v>14</v>
      </c>
      <c r="J1311" t="s">
        <v>12</v>
      </c>
      <c r="K1311" s="17" t="s">
        <v>107</v>
      </c>
      <c r="L1311" s="18" t="s">
        <v>10</v>
      </c>
      <c r="M1311" t="s">
        <v>18</v>
      </c>
    </row>
    <row r="1312" spans="1:13" x14ac:dyDescent="0.25">
      <c r="A1312" t="s">
        <v>67</v>
      </c>
      <c r="B1312" s="16" t="s">
        <v>9</v>
      </c>
      <c r="C1312" t="s">
        <v>7</v>
      </c>
      <c r="D1312" t="str">
        <f t="shared" si="29"/>
        <v>MERCURY-Taurus-Aries</v>
      </c>
      <c r="E1312" s="17" t="s">
        <v>103</v>
      </c>
      <c r="F1312" s="18" t="s">
        <v>9</v>
      </c>
      <c r="G1312" s="19" t="s">
        <v>9</v>
      </c>
      <c r="H1312" s="20" t="s">
        <v>101</v>
      </c>
      <c r="I1312" s="18" t="s">
        <v>12</v>
      </c>
      <c r="J1312" t="s">
        <v>12</v>
      </c>
      <c r="K1312" s="17" t="s">
        <v>108</v>
      </c>
      <c r="L1312" s="18" t="s">
        <v>18</v>
      </c>
      <c r="M1312" t="s">
        <v>18</v>
      </c>
    </row>
    <row r="1313" spans="1:13" x14ac:dyDescent="0.25">
      <c r="A1313" t="s">
        <v>67</v>
      </c>
      <c r="B1313" s="16" t="s">
        <v>9</v>
      </c>
      <c r="C1313" t="s">
        <v>9</v>
      </c>
      <c r="D1313" t="str">
        <f t="shared" si="29"/>
        <v>MERCURY-Taurus-Taurus</v>
      </c>
      <c r="E1313" s="17" t="s">
        <v>98</v>
      </c>
      <c r="F1313" s="18" t="s">
        <v>7</v>
      </c>
      <c r="G1313" s="19" t="s">
        <v>9</v>
      </c>
      <c r="H1313" s="20" t="s">
        <v>103</v>
      </c>
      <c r="I1313" s="18" t="s">
        <v>9</v>
      </c>
      <c r="J1313" t="s">
        <v>12</v>
      </c>
      <c r="K1313" s="17" t="s">
        <v>109</v>
      </c>
      <c r="L1313" s="18" t="s">
        <v>16</v>
      </c>
      <c r="M1313" t="s">
        <v>18</v>
      </c>
    </row>
    <row r="1314" spans="1:13" x14ac:dyDescent="0.25">
      <c r="A1314" t="s">
        <v>67</v>
      </c>
      <c r="B1314" s="16" t="s">
        <v>9</v>
      </c>
      <c r="C1314" t="s">
        <v>12</v>
      </c>
      <c r="D1314" t="str">
        <f t="shared" si="29"/>
        <v>MERCURY-Taurus-Gemini</v>
      </c>
      <c r="E1314" s="17" t="s">
        <v>100</v>
      </c>
      <c r="F1314" s="18" t="s">
        <v>29</v>
      </c>
      <c r="G1314" s="19" t="s">
        <v>9</v>
      </c>
      <c r="H1314" s="20" t="s">
        <v>98</v>
      </c>
      <c r="I1314" s="18" t="s">
        <v>7</v>
      </c>
      <c r="J1314" t="s">
        <v>12</v>
      </c>
      <c r="K1314" s="17" t="s">
        <v>99</v>
      </c>
      <c r="L1314" s="18" t="s">
        <v>14</v>
      </c>
      <c r="M1314" t="s">
        <v>18</v>
      </c>
    </row>
    <row r="1315" spans="1:13" x14ac:dyDescent="0.25">
      <c r="A1315" t="s">
        <v>67</v>
      </c>
      <c r="B1315" s="16" t="s">
        <v>9</v>
      </c>
      <c r="C1315" t="s">
        <v>14</v>
      </c>
      <c r="D1315" t="str">
        <f t="shared" si="29"/>
        <v>MERCURY-Taurus-Cancer</v>
      </c>
      <c r="E1315" s="17" t="s">
        <v>102</v>
      </c>
      <c r="F1315" s="18" t="s">
        <v>27</v>
      </c>
      <c r="G1315" s="19" t="s">
        <v>9</v>
      </c>
      <c r="H1315" s="20" t="s">
        <v>100</v>
      </c>
      <c r="I1315" s="18" t="s">
        <v>29</v>
      </c>
      <c r="J1315" t="s">
        <v>12</v>
      </c>
      <c r="K1315" s="17" t="s">
        <v>101</v>
      </c>
      <c r="L1315" s="18" t="s">
        <v>12</v>
      </c>
      <c r="M1315" t="s">
        <v>18</v>
      </c>
    </row>
    <row r="1316" spans="1:13" x14ac:dyDescent="0.25">
      <c r="A1316" t="s">
        <v>67</v>
      </c>
      <c r="B1316" s="16" t="s">
        <v>9</v>
      </c>
      <c r="C1316" t="s">
        <v>16</v>
      </c>
      <c r="D1316" t="str">
        <f t="shared" si="29"/>
        <v>MERCURY-Taurus-Leo</v>
      </c>
      <c r="E1316" s="17" t="s">
        <v>104</v>
      </c>
      <c r="F1316" s="18" t="s">
        <v>25</v>
      </c>
      <c r="G1316" s="19" t="s">
        <v>9</v>
      </c>
      <c r="H1316" s="20" t="s">
        <v>102</v>
      </c>
      <c r="I1316" s="18" t="s">
        <v>27</v>
      </c>
      <c r="J1316" t="s">
        <v>12</v>
      </c>
      <c r="K1316" s="17" t="s">
        <v>103</v>
      </c>
      <c r="L1316" s="18" t="s">
        <v>9</v>
      </c>
      <c r="M1316" t="s">
        <v>18</v>
      </c>
    </row>
    <row r="1317" spans="1:13" x14ac:dyDescent="0.25">
      <c r="A1317" t="s">
        <v>67</v>
      </c>
      <c r="B1317" s="16" t="s">
        <v>9</v>
      </c>
      <c r="C1317" t="s">
        <v>18</v>
      </c>
      <c r="D1317" t="str">
        <f t="shared" si="29"/>
        <v>MERCURY-Taurus-Virgo</v>
      </c>
      <c r="E1317" s="17" t="s">
        <v>105</v>
      </c>
      <c r="F1317" s="18" t="s">
        <v>23</v>
      </c>
      <c r="G1317" s="19" t="s">
        <v>9</v>
      </c>
      <c r="H1317" s="20" t="s">
        <v>104</v>
      </c>
      <c r="I1317" s="18" t="s">
        <v>25</v>
      </c>
      <c r="J1317" t="s">
        <v>12</v>
      </c>
      <c r="K1317" s="17" t="s">
        <v>98</v>
      </c>
      <c r="L1317" s="18" t="s">
        <v>7</v>
      </c>
      <c r="M1317" t="s">
        <v>18</v>
      </c>
    </row>
    <row r="1318" spans="1:13" x14ac:dyDescent="0.25">
      <c r="A1318" t="s">
        <v>67</v>
      </c>
      <c r="B1318" s="16" t="s">
        <v>9</v>
      </c>
      <c r="C1318" t="s">
        <v>10</v>
      </c>
      <c r="D1318" t="str">
        <f t="shared" si="29"/>
        <v>MERCURY-Taurus-Libra</v>
      </c>
      <c r="E1318" s="17" t="s">
        <v>106</v>
      </c>
      <c r="F1318" s="18" t="s">
        <v>21</v>
      </c>
      <c r="G1318" s="19" t="s">
        <v>9</v>
      </c>
      <c r="H1318" s="20" t="s">
        <v>105</v>
      </c>
      <c r="I1318" s="18" t="s">
        <v>23</v>
      </c>
      <c r="J1318" t="s">
        <v>12</v>
      </c>
      <c r="K1318" s="17" t="s">
        <v>100</v>
      </c>
      <c r="L1318" s="18" t="s">
        <v>29</v>
      </c>
      <c r="M1318" t="s">
        <v>18</v>
      </c>
    </row>
    <row r="1319" spans="1:13" x14ac:dyDescent="0.25">
      <c r="A1319" t="s">
        <v>67</v>
      </c>
      <c r="B1319" s="16" t="s">
        <v>9</v>
      </c>
      <c r="C1319" t="s">
        <v>21</v>
      </c>
      <c r="D1319" t="str">
        <f t="shared" si="29"/>
        <v>MERCURY-Taurus-Scorpio</v>
      </c>
      <c r="E1319" s="17" t="s">
        <v>107</v>
      </c>
      <c r="F1319" s="18" t="s">
        <v>10</v>
      </c>
      <c r="G1319" s="19" t="s">
        <v>9</v>
      </c>
      <c r="H1319" s="20" t="s">
        <v>106</v>
      </c>
      <c r="I1319" s="18" t="s">
        <v>21</v>
      </c>
      <c r="J1319" t="s">
        <v>12</v>
      </c>
      <c r="K1319" s="17" t="s">
        <v>102</v>
      </c>
      <c r="L1319" s="18" t="s">
        <v>27</v>
      </c>
      <c r="M1319" t="s">
        <v>18</v>
      </c>
    </row>
    <row r="1320" spans="1:13" x14ac:dyDescent="0.25">
      <c r="A1320" t="s">
        <v>67</v>
      </c>
      <c r="B1320" s="16" t="s">
        <v>9</v>
      </c>
      <c r="C1320" t="s">
        <v>23</v>
      </c>
      <c r="D1320" t="str">
        <f t="shared" si="29"/>
        <v>MERCURY-Taurus-Sagittarius</v>
      </c>
      <c r="E1320" s="17" t="s">
        <v>108</v>
      </c>
      <c r="F1320" s="18" t="s">
        <v>18</v>
      </c>
      <c r="G1320" s="19" t="s">
        <v>9</v>
      </c>
      <c r="H1320" s="20" t="s">
        <v>107</v>
      </c>
      <c r="I1320" s="18" t="s">
        <v>10</v>
      </c>
      <c r="J1320" t="s">
        <v>12</v>
      </c>
      <c r="K1320" s="17" t="s">
        <v>104</v>
      </c>
      <c r="L1320" s="18" t="s">
        <v>25</v>
      </c>
      <c r="M1320" t="s">
        <v>18</v>
      </c>
    </row>
    <row r="1321" spans="1:13" x14ac:dyDescent="0.25">
      <c r="A1321" t="s">
        <v>67</v>
      </c>
      <c r="B1321" s="16" t="s">
        <v>9</v>
      </c>
      <c r="C1321" t="s">
        <v>25</v>
      </c>
      <c r="D1321" t="str">
        <f t="shared" si="29"/>
        <v>MERCURY-Taurus-Capricorn</v>
      </c>
      <c r="E1321" s="17" t="s">
        <v>109</v>
      </c>
      <c r="F1321" s="18" t="s">
        <v>16</v>
      </c>
      <c r="G1321" s="19" t="s">
        <v>9</v>
      </c>
      <c r="H1321" s="20" t="s">
        <v>108</v>
      </c>
      <c r="I1321" s="18" t="s">
        <v>18</v>
      </c>
      <c r="J1321" t="s">
        <v>12</v>
      </c>
      <c r="K1321" s="17" t="s">
        <v>105</v>
      </c>
      <c r="L1321" s="18" t="s">
        <v>23</v>
      </c>
      <c r="M1321" t="s">
        <v>18</v>
      </c>
    </row>
    <row r="1322" spans="1:13" x14ac:dyDescent="0.25">
      <c r="A1322" t="s">
        <v>67</v>
      </c>
      <c r="B1322" s="16" t="s">
        <v>9</v>
      </c>
      <c r="C1322" t="s">
        <v>27</v>
      </c>
      <c r="D1322" t="str">
        <f t="shared" si="29"/>
        <v>MERCURY-Taurus-Aquarius</v>
      </c>
      <c r="E1322" s="17" t="s">
        <v>99</v>
      </c>
      <c r="F1322" s="18" t="s">
        <v>14</v>
      </c>
      <c r="G1322" s="19" t="s">
        <v>9</v>
      </c>
      <c r="H1322" s="20" t="s">
        <v>109</v>
      </c>
      <c r="I1322" s="18" t="s">
        <v>16</v>
      </c>
      <c r="J1322" t="s">
        <v>12</v>
      </c>
      <c r="K1322" s="17" t="s">
        <v>106</v>
      </c>
      <c r="L1322" s="18" t="s">
        <v>21</v>
      </c>
      <c r="M1322" t="s">
        <v>18</v>
      </c>
    </row>
    <row r="1323" spans="1:13" x14ac:dyDescent="0.25">
      <c r="A1323" t="s">
        <v>67</v>
      </c>
      <c r="B1323" s="16" t="s">
        <v>9</v>
      </c>
      <c r="C1323" t="s">
        <v>29</v>
      </c>
      <c r="D1323" t="str">
        <f t="shared" si="29"/>
        <v>MERCURY-Taurus-Pisces</v>
      </c>
      <c r="E1323" s="17" t="s">
        <v>101</v>
      </c>
      <c r="F1323" s="18" t="s">
        <v>12</v>
      </c>
      <c r="G1323" s="19" t="s">
        <v>9</v>
      </c>
      <c r="H1323" s="20" t="s">
        <v>99</v>
      </c>
      <c r="I1323" s="18" t="s">
        <v>14</v>
      </c>
      <c r="J1323" t="s">
        <v>12</v>
      </c>
      <c r="K1323" s="17" t="s">
        <v>107</v>
      </c>
      <c r="L1323" s="18" t="s">
        <v>10</v>
      </c>
      <c r="M1323" t="s">
        <v>18</v>
      </c>
    </row>
    <row r="1324" spans="1:13" x14ac:dyDescent="0.25">
      <c r="A1324" t="s">
        <v>67</v>
      </c>
      <c r="B1324" s="16" t="s">
        <v>12</v>
      </c>
      <c r="C1324" t="s">
        <v>7</v>
      </c>
      <c r="D1324" t="str">
        <f t="shared" si="29"/>
        <v>MERCURY-Gemini-Aries</v>
      </c>
      <c r="E1324" s="17" t="s">
        <v>101</v>
      </c>
      <c r="F1324" s="18" t="s">
        <v>12</v>
      </c>
      <c r="G1324" s="19" t="s">
        <v>12</v>
      </c>
      <c r="H1324" s="20" t="s">
        <v>101</v>
      </c>
      <c r="I1324" s="18" t="s">
        <v>12</v>
      </c>
      <c r="J1324" t="s">
        <v>12</v>
      </c>
      <c r="K1324" s="17" t="s">
        <v>108</v>
      </c>
      <c r="L1324" s="18" t="s">
        <v>18</v>
      </c>
      <c r="M1324" t="s">
        <v>18</v>
      </c>
    </row>
    <row r="1325" spans="1:13" x14ac:dyDescent="0.25">
      <c r="A1325" t="s">
        <v>67</v>
      </c>
      <c r="B1325" s="16" t="s">
        <v>12</v>
      </c>
      <c r="C1325" t="s">
        <v>9</v>
      </c>
      <c r="D1325" t="str">
        <f t="shared" si="29"/>
        <v>MERCURY-Gemini-Taurus</v>
      </c>
      <c r="E1325" s="17" t="s">
        <v>103</v>
      </c>
      <c r="F1325" s="18" t="s">
        <v>9</v>
      </c>
      <c r="G1325" s="19" t="s">
        <v>12</v>
      </c>
      <c r="H1325" s="20" t="s">
        <v>103</v>
      </c>
      <c r="I1325" s="18" t="s">
        <v>9</v>
      </c>
      <c r="J1325" t="s">
        <v>12</v>
      </c>
      <c r="K1325" s="17" t="s">
        <v>109</v>
      </c>
      <c r="L1325" s="18" t="s">
        <v>16</v>
      </c>
      <c r="M1325" t="s">
        <v>18</v>
      </c>
    </row>
    <row r="1326" spans="1:13" x14ac:dyDescent="0.25">
      <c r="A1326" t="s">
        <v>67</v>
      </c>
      <c r="B1326" s="16" t="s">
        <v>12</v>
      </c>
      <c r="C1326" t="s">
        <v>12</v>
      </c>
      <c r="D1326" t="str">
        <f t="shared" si="29"/>
        <v>MERCURY-Gemini-Gemini</v>
      </c>
      <c r="E1326" s="17" t="s">
        <v>98</v>
      </c>
      <c r="F1326" s="18" t="s">
        <v>7</v>
      </c>
      <c r="G1326" s="19" t="s">
        <v>12</v>
      </c>
      <c r="H1326" s="20" t="s">
        <v>98</v>
      </c>
      <c r="I1326" s="18" t="s">
        <v>7</v>
      </c>
      <c r="J1326" t="s">
        <v>12</v>
      </c>
      <c r="K1326" s="17" t="s">
        <v>99</v>
      </c>
      <c r="L1326" s="18" t="s">
        <v>14</v>
      </c>
      <c r="M1326" t="s">
        <v>18</v>
      </c>
    </row>
    <row r="1327" spans="1:13" x14ac:dyDescent="0.25">
      <c r="A1327" t="s">
        <v>67</v>
      </c>
      <c r="B1327" s="16" t="s">
        <v>12</v>
      </c>
      <c r="C1327" t="s">
        <v>14</v>
      </c>
      <c r="D1327" t="str">
        <f t="shared" si="29"/>
        <v>MERCURY-Gemini-Cancer</v>
      </c>
      <c r="E1327" s="17" t="s">
        <v>100</v>
      </c>
      <c r="F1327" s="18" t="s">
        <v>29</v>
      </c>
      <c r="G1327" s="19" t="s">
        <v>12</v>
      </c>
      <c r="H1327" s="20" t="s">
        <v>100</v>
      </c>
      <c r="I1327" s="18" t="s">
        <v>29</v>
      </c>
      <c r="J1327" t="s">
        <v>12</v>
      </c>
      <c r="K1327" s="17" t="s">
        <v>101</v>
      </c>
      <c r="L1327" s="18" t="s">
        <v>12</v>
      </c>
      <c r="M1327" t="s">
        <v>18</v>
      </c>
    </row>
    <row r="1328" spans="1:13" x14ac:dyDescent="0.25">
      <c r="A1328" t="s">
        <v>67</v>
      </c>
      <c r="B1328" s="16" t="s">
        <v>12</v>
      </c>
      <c r="C1328" t="s">
        <v>16</v>
      </c>
      <c r="D1328" t="str">
        <f t="shared" si="29"/>
        <v>MERCURY-Gemini-Leo</v>
      </c>
      <c r="E1328" s="17" t="s">
        <v>102</v>
      </c>
      <c r="F1328" s="18" t="s">
        <v>27</v>
      </c>
      <c r="G1328" s="19" t="s">
        <v>12</v>
      </c>
      <c r="H1328" s="20" t="s">
        <v>102</v>
      </c>
      <c r="I1328" s="18" t="s">
        <v>27</v>
      </c>
      <c r="J1328" t="s">
        <v>12</v>
      </c>
      <c r="K1328" s="17" t="s">
        <v>103</v>
      </c>
      <c r="L1328" s="18" t="s">
        <v>9</v>
      </c>
      <c r="M1328" t="s">
        <v>18</v>
      </c>
    </row>
    <row r="1329" spans="1:13" x14ac:dyDescent="0.25">
      <c r="A1329" t="s">
        <v>67</v>
      </c>
      <c r="B1329" s="16" t="s">
        <v>12</v>
      </c>
      <c r="C1329" t="s">
        <v>18</v>
      </c>
      <c r="D1329" t="str">
        <f t="shared" si="29"/>
        <v>MERCURY-Gemini-Virgo</v>
      </c>
      <c r="E1329" s="17" t="s">
        <v>104</v>
      </c>
      <c r="F1329" s="18" t="s">
        <v>25</v>
      </c>
      <c r="G1329" s="19" t="s">
        <v>12</v>
      </c>
      <c r="H1329" s="20" t="s">
        <v>104</v>
      </c>
      <c r="I1329" s="18" t="s">
        <v>25</v>
      </c>
      <c r="J1329" t="s">
        <v>12</v>
      </c>
      <c r="K1329" s="17" t="s">
        <v>98</v>
      </c>
      <c r="L1329" s="18" t="s">
        <v>7</v>
      </c>
      <c r="M1329" t="s">
        <v>18</v>
      </c>
    </row>
    <row r="1330" spans="1:13" x14ac:dyDescent="0.25">
      <c r="A1330" t="s">
        <v>67</v>
      </c>
      <c r="B1330" s="16" t="s">
        <v>12</v>
      </c>
      <c r="C1330" t="s">
        <v>10</v>
      </c>
      <c r="D1330" t="str">
        <f t="shared" si="29"/>
        <v>MERCURY-Gemini-Libra</v>
      </c>
      <c r="E1330" s="17" t="s">
        <v>105</v>
      </c>
      <c r="F1330" s="18" t="s">
        <v>23</v>
      </c>
      <c r="G1330" s="19" t="s">
        <v>12</v>
      </c>
      <c r="H1330" s="20" t="s">
        <v>105</v>
      </c>
      <c r="I1330" s="18" t="s">
        <v>23</v>
      </c>
      <c r="J1330" t="s">
        <v>12</v>
      </c>
      <c r="K1330" s="17" t="s">
        <v>100</v>
      </c>
      <c r="L1330" s="18" t="s">
        <v>29</v>
      </c>
      <c r="M1330" t="s">
        <v>18</v>
      </c>
    </row>
    <row r="1331" spans="1:13" x14ac:dyDescent="0.25">
      <c r="A1331" t="s">
        <v>67</v>
      </c>
      <c r="B1331" s="16" t="s">
        <v>12</v>
      </c>
      <c r="C1331" t="s">
        <v>21</v>
      </c>
      <c r="D1331" t="str">
        <f t="shared" si="29"/>
        <v>MERCURY-Gemini-Scorpio</v>
      </c>
      <c r="E1331" s="17" t="s">
        <v>106</v>
      </c>
      <c r="F1331" s="18" t="s">
        <v>21</v>
      </c>
      <c r="G1331" s="19" t="s">
        <v>12</v>
      </c>
      <c r="H1331" s="20" t="s">
        <v>106</v>
      </c>
      <c r="I1331" s="18" t="s">
        <v>21</v>
      </c>
      <c r="J1331" t="s">
        <v>12</v>
      </c>
      <c r="K1331" s="17" t="s">
        <v>102</v>
      </c>
      <c r="L1331" s="18" t="s">
        <v>27</v>
      </c>
      <c r="M1331" t="s">
        <v>18</v>
      </c>
    </row>
    <row r="1332" spans="1:13" x14ac:dyDescent="0.25">
      <c r="A1332" t="s">
        <v>67</v>
      </c>
      <c r="B1332" s="16" t="s">
        <v>12</v>
      </c>
      <c r="C1332" t="s">
        <v>23</v>
      </c>
      <c r="D1332" t="str">
        <f t="shared" si="29"/>
        <v>MERCURY-Gemini-Sagittarius</v>
      </c>
      <c r="E1332" s="17" t="s">
        <v>107</v>
      </c>
      <c r="F1332" s="18" t="s">
        <v>10</v>
      </c>
      <c r="G1332" s="19" t="s">
        <v>12</v>
      </c>
      <c r="H1332" s="20" t="s">
        <v>107</v>
      </c>
      <c r="I1332" s="18" t="s">
        <v>10</v>
      </c>
      <c r="J1332" t="s">
        <v>12</v>
      </c>
      <c r="K1332" s="17" t="s">
        <v>104</v>
      </c>
      <c r="L1332" s="18" t="s">
        <v>25</v>
      </c>
      <c r="M1332" t="s">
        <v>18</v>
      </c>
    </row>
    <row r="1333" spans="1:13" x14ac:dyDescent="0.25">
      <c r="A1333" t="s">
        <v>67</v>
      </c>
      <c r="B1333" s="16" t="s">
        <v>12</v>
      </c>
      <c r="C1333" t="s">
        <v>25</v>
      </c>
      <c r="D1333" t="str">
        <f t="shared" si="29"/>
        <v>MERCURY-Gemini-Capricorn</v>
      </c>
      <c r="E1333" s="17" t="s">
        <v>108</v>
      </c>
      <c r="F1333" s="18" t="s">
        <v>18</v>
      </c>
      <c r="G1333" s="19" t="s">
        <v>12</v>
      </c>
      <c r="H1333" s="20" t="s">
        <v>108</v>
      </c>
      <c r="I1333" s="18" t="s">
        <v>18</v>
      </c>
      <c r="J1333" t="s">
        <v>12</v>
      </c>
      <c r="K1333" s="17" t="s">
        <v>105</v>
      </c>
      <c r="L1333" s="18" t="s">
        <v>23</v>
      </c>
      <c r="M1333" t="s">
        <v>18</v>
      </c>
    </row>
    <row r="1334" spans="1:13" x14ac:dyDescent="0.25">
      <c r="A1334" t="s">
        <v>67</v>
      </c>
      <c r="B1334" s="16" t="s">
        <v>12</v>
      </c>
      <c r="C1334" t="s">
        <v>27</v>
      </c>
      <c r="D1334" t="str">
        <f t="shared" si="29"/>
        <v>MERCURY-Gemini-Aquarius</v>
      </c>
      <c r="E1334" s="17" t="s">
        <v>109</v>
      </c>
      <c r="F1334" s="18" t="s">
        <v>16</v>
      </c>
      <c r="G1334" s="19" t="s">
        <v>12</v>
      </c>
      <c r="H1334" s="20" t="s">
        <v>109</v>
      </c>
      <c r="I1334" s="18" t="s">
        <v>16</v>
      </c>
      <c r="J1334" t="s">
        <v>12</v>
      </c>
      <c r="K1334" s="17" t="s">
        <v>106</v>
      </c>
      <c r="L1334" s="18" t="s">
        <v>21</v>
      </c>
      <c r="M1334" t="s">
        <v>18</v>
      </c>
    </row>
    <row r="1335" spans="1:13" x14ac:dyDescent="0.25">
      <c r="A1335" t="s">
        <v>67</v>
      </c>
      <c r="B1335" s="16" t="s">
        <v>12</v>
      </c>
      <c r="C1335" t="s">
        <v>29</v>
      </c>
      <c r="D1335" t="str">
        <f t="shared" si="29"/>
        <v>MERCURY-Gemini-Pisces</v>
      </c>
      <c r="E1335" s="17" t="s">
        <v>99</v>
      </c>
      <c r="F1335" s="18" t="s">
        <v>14</v>
      </c>
      <c r="G1335" s="19" t="s">
        <v>12</v>
      </c>
      <c r="H1335" s="20" t="s">
        <v>99</v>
      </c>
      <c r="I1335" s="18" t="s">
        <v>14</v>
      </c>
      <c r="J1335" t="s">
        <v>12</v>
      </c>
      <c r="K1335" s="17" t="s">
        <v>107</v>
      </c>
      <c r="L1335" s="18" t="s">
        <v>10</v>
      </c>
      <c r="M1335" t="s">
        <v>18</v>
      </c>
    </row>
    <row r="1336" spans="1:13" x14ac:dyDescent="0.25">
      <c r="A1336" t="s">
        <v>67</v>
      </c>
      <c r="B1336" s="16" t="s">
        <v>14</v>
      </c>
      <c r="C1336" t="s">
        <v>7</v>
      </c>
      <c r="D1336" t="str">
        <f t="shared" si="29"/>
        <v>MERCURY-Cancer-Aries</v>
      </c>
      <c r="E1336" s="17" t="s">
        <v>99</v>
      </c>
      <c r="F1336" s="18" t="s">
        <v>14</v>
      </c>
      <c r="G1336" s="19" t="s">
        <v>14</v>
      </c>
      <c r="H1336" s="20" t="s">
        <v>101</v>
      </c>
      <c r="I1336" s="18" t="s">
        <v>12</v>
      </c>
      <c r="J1336" t="s">
        <v>12</v>
      </c>
      <c r="K1336" s="17" t="s">
        <v>108</v>
      </c>
      <c r="L1336" s="18" t="s">
        <v>18</v>
      </c>
      <c r="M1336" t="s">
        <v>18</v>
      </c>
    </row>
    <row r="1337" spans="1:13" x14ac:dyDescent="0.25">
      <c r="A1337" t="s">
        <v>67</v>
      </c>
      <c r="B1337" s="16" t="s">
        <v>14</v>
      </c>
      <c r="C1337" t="s">
        <v>9</v>
      </c>
      <c r="D1337" t="str">
        <f t="shared" si="29"/>
        <v>MERCURY-Cancer-Taurus</v>
      </c>
      <c r="E1337" s="17" t="s">
        <v>101</v>
      </c>
      <c r="F1337" s="18" t="s">
        <v>12</v>
      </c>
      <c r="G1337" s="19" t="s">
        <v>14</v>
      </c>
      <c r="H1337" s="20" t="s">
        <v>103</v>
      </c>
      <c r="I1337" s="18" t="s">
        <v>9</v>
      </c>
      <c r="J1337" t="s">
        <v>12</v>
      </c>
      <c r="K1337" s="17" t="s">
        <v>109</v>
      </c>
      <c r="L1337" s="18" t="s">
        <v>16</v>
      </c>
      <c r="M1337" t="s">
        <v>18</v>
      </c>
    </row>
    <row r="1338" spans="1:13" x14ac:dyDescent="0.25">
      <c r="A1338" t="s">
        <v>67</v>
      </c>
      <c r="B1338" s="16" t="s">
        <v>14</v>
      </c>
      <c r="C1338" t="s">
        <v>12</v>
      </c>
      <c r="D1338" t="str">
        <f t="shared" si="29"/>
        <v>MERCURY-Cancer-Gemini</v>
      </c>
      <c r="E1338" s="17" t="s">
        <v>103</v>
      </c>
      <c r="F1338" s="18" t="s">
        <v>9</v>
      </c>
      <c r="G1338" s="19" t="s">
        <v>14</v>
      </c>
      <c r="H1338" s="20" t="s">
        <v>98</v>
      </c>
      <c r="I1338" s="18" t="s">
        <v>7</v>
      </c>
      <c r="J1338" t="s">
        <v>12</v>
      </c>
      <c r="K1338" s="17" t="s">
        <v>99</v>
      </c>
      <c r="L1338" s="18" t="s">
        <v>14</v>
      </c>
      <c r="M1338" t="s">
        <v>18</v>
      </c>
    </row>
    <row r="1339" spans="1:13" x14ac:dyDescent="0.25">
      <c r="A1339" t="s">
        <v>67</v>
      </c>
      <c r="B1339" s="16" t="s">
        <v>14</v>
      </c>
      <c r="C1339" t="s">
        <v>14</v>
      </c>
      <c r="D1339" t="str">
        <f t="shared" si="29"/>
        <v>MERCURY-Cancer-Cancer</v>
      </c>
      <c r="E1339" s="17" t="s">
        <v>98</v>
      </c>
      <c r="F1339" s="18" t="s">
        <v>7</v>
      </c>
      <c r="G1339" s="19" t="s">
        <v>14</v>
      </c>
      <c r="H1339" s="20" t="s">
        <v>100</v>
      </c>
      <c r="I1339" s="18" t="s">
        <v>29</v>
      </c>
      <c r="J1339" t="s">
        <v>12</v>
      </c>
      <c r="K1339" s="17" t="s">
        <v>101</v>
      </c>
      <c r="L1339" s="18" t="s">
        <v>12</v>
      </c>
      <c r="M1339" t="s">
        <v>18</v>
      </c>
    </row>
    <row r="1340" spans="1:13" x14ac:dyDescent="0.25">
      <c r="A1340" t="s">
        <v>67</v>
      </c>
      <c r="B1340" s="16" t="s">
        <v>14</v>
      </c>
      <c r="C1340" t="s">
        <v>16</v>
      </c>
      <c r="D1340" t="str">
        <f t="shared" si="29"/>
        <v>MERCURY-Cancer-Leo</v>
      </c>
      <c r="E1340" s="17" t="s">
        <v>100</v>
      </c>
      <c r="F1340" s="18" t="s">
        <v>29</v>
      </c>
      <c r="G1340" s="19" t="s">
        <v>14</v>
      </c>
      <c r="H1340" s="20" t="s">
        <v>102</v>
      </c>
      <c r="I1340" s="18" t="s">
        <v>27</v>
      </c>
      <c r="J1340" t="s">
        <v>12</v>
      </c>
      <c r="K1340" s="17" t="s">
        <v>103</v>
      </c>
      <c r="L1340" s="18" t="s">
        <v>9</v>
      </c>
      <c r="M1340" t="s">
        <v>18</v>
      </c>
    </row>
    <row r="1341" spans="1:13" x14ac:dyDescent="0.25">
      <c r="A1341" t="s">
        <v>67</v>
      </c>
      <c r="B1341" s="16" t="s">
        <v>14</v>
      </c>
      <c r="C1341" t="s">
        <v>18</v>
      </c>
      <c r="D1341" t="str">
        <f t="shared" si="29"/>
        <v>MERCURY-Cancer-Virgo</v>
      </c>
      <c r="E1341" s="17" t="s">
        <v>102</v>
      </c>
      <c r="F1341" s="18" t="s">
        <v>27</v>
      </c>
      <c r="G1341" s="19" t="s">
        <v>14</v>
      </c>
      <c r="H1341" s="20" t="s">
        <v>104</v>
      </c>
      <c r="I1341" s="18" t="s">
        <v>25</v>
      </c>
      <c r="J1341" t="s">
        <v>12</v>
      </c>
      <c r="K1341" s="17" t="s">
        <v>98</v>
      </c>
      <c r="L1341" s="18" t="s">
        <v>7</v>
      </c>
      <c r="M1341" t="s">
        <v>18</v>
      </c>
    </row>
    <row r="1342" spans="1:13" x14ac:dyDescent="0.25">
      <c r="A1342" t="s">
        <v>67</v>
      </c>
      <c r="B1342" s="16" t="s">
        <v>14</v>
      </c>
      <c r="C1342" t="s">
        <v>10</v>
      </c>
      <c r="D1342" t="str">
        <f t="shared" si="29"/>
        <v>MERCURY-Cancer-Libra</v>
      </c>
      <c r="E1342" s="17" t="s">
        <v>104</v>
      </c>
      <c r="F1342" s="18" t="s">
        <v>25</v>
      </c>
      <c r="G1342" s="19" t="s">
        <v>14</v>
      </c>
      <c r="H1342" s="20" t="s">
        <v>105</v>
      </c>
      <c r="I1342" s="18" t="s">
        <v>23</v>
      </c>
      <c r="J1342" t="s">
        <v>12</v>
      </c>
      <c r="K1342" s="17" t="s">
        <v>100</v>
      </c>
      <c r="L1342" s="18" t="s">
        <v>29</v>
      </c>
      <c r="M1342" t="s">
        <v>18</v>
      </c>
    </row>
    <row r="1343" spans="1:13" x14ac:dyDescent="0.25">
      <c r="A1343" t="s">
        <v>67</v>
      </c>
      <c r="B1343" s="16" t="s">
        <v>14</v>
      </c>
      <c r="C1343" t="s">
        <v>21</v>
      </c>
      <c r="D1343" t="str">
        <f t="shared" si="29"/>
        <v>MERCURY-Cancer-Scorpio</v>
      </c>
      <c r="E1343" s="17" t="s">
        <v>105</v>
      </c>
      <c r="F1343" s="18" t="s">
        <v>23</v>
      </c>
      <c r="G1343" s="19" t="s">
        <v>14</v>
      </c>
      <c r="H1343" s="20" t="s">
        <v>106</v>
      </c>
      <c r="I1343" s="18" t="s">
        <v>21</v>
      </c>
      <c r="J1343" t="s">
        <v>12</v>
      </c>
      <c r="K1343" s="17" t="s">
        <v>102</v>
      </c>
      <c r="L1343" s="18" t="s">
        <v>27</v>
      </c>
      <c r="M1343" t="s">
        <v>18</v>
      </c>
    </row>
    <row r="1344" spans="1:13" x14ac:dyDescent="0.25">
      <c r="A1344" t="s">
        <v>67</v>
      </c>
      <c r="B1344" s="16" t="s">
        <v>14</v>
      </c>
      <c r="C1344" t="s">
        <v>23</v>
      </c>
      <c r="D1344" t="str">
        <f t="shared" si="29"/>
        <v>MERCURY-Cancer-Sagittarius</v>
      </c>
      <c r="E1344" s="17" t="s">
        <v>106</v>
      </c>
      <c r="F1344" s="18" t="s">
        <v>21</v>
      </c>
      <c r="G1344" s="19" t="s">
        <v>14</v>
      </c>
      <c r="H1344" s="20" t="s">
        <v>107</v>
      </c>
      <c r="I1344" s="18" t="s">
        <v>10</v>
      </c>
      <c r="J1344" t="s">
        <v>12</v>
      </c>
      <c r="K1344" s="17" t="s">
        <v>104</v>
      </c>
      <c r="L1344" s="18" t="s">
        <v>25</v>
      </c>
      <c r="M1344" t="s">
        <v>18</v>
      </c>
    </row>
    <row r="1345" spans="1:13" x14ac:dyDescent="0.25">
      <c r="A1345" t="s">
        <v>67</v>
      </c>
      <c r="B1345" s="16" t="s">
        <v>14</v>
      </c>
      <c r="C1345" t="s">
        <v>25</v>
      </c>
      <c r="D1345" t="str">
        <f t="shared" si="29"/>
        <v>MERCURY-Cancer-Capricorn</v>
      </c>
      <c r="E1345" s="17" t="s">
        <v>107</v>
      </c>
      <c r="F1345" s="18" t="s">
        <v>10</v>
      </c>
      <c r="G1345" s="19" t="s">
        <v>14</v>
      </c>
      <c r="H1345" s="20" t="s">
        <v>108</v>
      </c>
      <c r="I1345" s="18" t="s">
        <v>18</v>
      </c>
      <c r="J1345" t="s">
        <v>12</v>
      </c>
      <c r="K1345" s="17" t="s">
        <v>105</v>
      </c>
      <c r="L1345" s="18" t="s">
        <v>23</v>
      </c>
      <c r="M1345" t="s">
        <v>18</v>
      </c>
    </row>
    <row r="1346" spans="1:13" x14ac:dyDescent="0.25">
      <c r="A1346" t="s">
        <v>67</v>
      </c>
      <c r="B1346" s="16" t="s">
        <v>14</v>
      </c>
      <c r="C1346" t="s">
        <v>27</v>
      </c>
      <c r="D1346" t="str">
        <f t="shared" si="29"/>
        <v>MERCURY-Cancer-Aquarius</v>
      </c>
      <c r="E1346" s="17" t="s">
        <v>108</v>
      </c>
      <c r="F1346" s="18" t="s">
        <v>18</v>
      </c>
      <c r="G1346" s="19" t="s">
        <v>14</v>
      </c>
      <c r="H1346" s="20" t="s">
        <v>109</v>
      </c>
      <c r="I1346" s="18" t="s">
        <v>16</v>
      </c>
      <c r="J1346" t="s">
        <v>12</v>
      </c>
      <c r="K1346" s="17" t="s">
        <v>106</v>
      </c>
      <c r="L1346" s="18" t="s">
        <v>21</v>
      </c>
      <c r="M1346" t="s">
        <v>18</v>
      </c>
    </row>
    <row r="1347" spans="1:13" x14ac:dyDescent="0.25">
      <c r="A1347" t="s">
        <v>67</v>
      </c>
      <c r="B1347" s="16" t="s">
        <v>14</v>
      </c>
      <c r="C1347" t="s">
        <v>29</v>
      </c>
      <c r="D1347" t="str">
        <f t="shared" si="29"/>
        <v>MERCURY-Cancer-Pisces</v>
      </c>
      <c r="E1347" s="17" t="s">
        <v>109</v>
      </c>
      <c r="F1347" s="18" t="s">
        <v>16</v>
      </c>
      <c r="G1347" s="19" t="s">
        <v>14</v>
      </c>
      <c r="H1347" s="20" t="s">
        <v>99</v>
      </c>
      <c r="I1347" s="18" t="s">
        <v>14</v>
      </c>
      <c r="J1347" t="s">
        <v>12</v>
      </c>
      <c r="K1347" s="17" t="s">
        <v>107</v>
      </c>
      <c r="L1347" s="18" t="s">
        <v>10</v>
      </c>
      <c r="M1347" t="s">
        <v>18</v>
      </c>
    </row>
    <row r="1348" spans="1:13" x14ac:dyDescent="0.25">
      <c r="A1348" t="s">
        <v>67</v>
      </c>
      <c r="B1348" s="16" t="s">
        <v>16</v>
      </c>
      <c r="C1348" t="s">
        <v>7</v>
      </c>
      <c r="D1348" t="str">
        <f t="shared" si="29"/>
        <v>MERCURY-Leo-Aries</v>
      </c>
      <c r="E1348" s="17" t="s">
        <v>109</v>
      </c>
      <c r="F1348" s="18" t="s">
        <v>16</v>
      </c>
      <c r="G1348" s="19" t="s">
        <v>16</v>
      </c>
      <c r="H1348" s="20" t="s">
        <v>101</v>
      </c>
      <c r="I1348" s="18" t="s">
        <v>12</v>
      </c>
      <c r="J1348" t="s">
        <v>12</v>
      </c>
      <c r="K1348" s="17" t="s">
        <v>108</v>
      </c>
      <c r="L1348" s="18" t="s">
        <v>18</v>
      </c>
      <c r="M1348" t="s">
        <v>18</v>
      </c>
    </row>
    <row r="1349" spans="1:13" x14ac:dyDescent="0.25">
      <c r="A1349" t="s">
        <v>67</v>
      </c>
      <c r="B1349" s="16" t="s">
        <v>16</v>
      </c>
      <c r="C1349" t="s">
        <v>9</v>
      </c>
      <c r="D1349" t="str">
        <f t="shared" si="29"/>
        <v>MERCURY-Leo-Taurus</v>
      </c>
      <c r="E1349" s="17" t="s">
        <v>99</v>
      </c>
      <c r="F1349" s="18" t="s">
        <v>14</v>
      </c>
      <c r="G1349" s="19" t="s">
        <v>16</v>
      </c>
      <c r="H1349" s="20" t="s">
        <v>103</v>
      </c>
      <c r="I1349" s="18" t="s">
        <v>9</v>
      </c>
      <c r="J1349" t="s">
        <v>12</v>
      </c>
      <c r="K1349" s="17" t="s">
        <v>109</v>
      </c>
      <c r="L1349" s="18" t="s">
        <v>16</v>
      </c>
      <c r="M1349" t="s">
        <v>18</v>
      </c>
    </row>
    <row r="1350" spans="1:13" x14ac:dyDescent="0.25">
      <c r="A1350" t="s">
        <v>67</v>
      </c>
      <c r="B1350" s="16" t="s">
        <v>16</v>
      </c>
      <c r="C1350" t="s">
        <v>12</v>
      </c>
      <c r="D1350" t="str">
        <f t="shared" si="29"/>
        <v>MERCURY-Leo-Gemini</v>
      </c>
      <c r="E1350" s="17" t="s">
        <v>101</v>
      </c>
      <c r="F1350" s="18" t="s">
        <v>12</v>
      </c>
      <c r="G1350" s="19" t="s">
        <v>16</v>
      </c>
      <c r="H1350" s="20" t="s">
        <v>98</v>
      </c>
      <c r="I1350" s="18" t="s">
        <v>7</v>
      </c>
      <c r="J1350" t="s">
        <v>12</v>
      </c>
      <c r="K1350" s="17" t="s">
        <v>99</v>
      </c>
      <c r="L1350" s="18" t="s">
        <v>14</v>
      </c>
      <c r="M1350" t="s">
        <v>18</v>
      </c>
    </row>
    <row r="1351" spans="1:13" x14ac:dyDescent="0.25">
      <c r="A1351" t="s">
        <v>67</v>
      </c>
      <c r="B1351" s="16" t="s">
        <v>16</v>
      </c>
      <c r="C1351" t="s">
        <v>14</v>
      </c>
      <c r="D1351" t="str">
        <f t="shared" si="29"/>
        <v>MERCURY-Leo-Cancer</v>
      </c>
      <c r="E1351" s="17" t="s">
        <v>103</v>
      </c>
      <c r="F1351" s="18" t="s">
        <v>9</v>
      </c>
      <c r="G1351" s="19" t="s">
        <v>16</v>
      </c>
      <c r="H1351" s="20" t="s">
        <v>100</v>
      </c>
      <c r="I1351" s="18" t="s">
        <v>29</v>
      </c>
      <c r="J1351" t="s">
        <v>12</v>
      </c>
      <c r="K1351" s="17" t="s">
        <v>101</v>
      </c>
      <c r="L1351" s="18" t="s">
        <v>12</v>
      </c>
      <c r="M1351" t="s">
        <v>18</v>
      </c>
    </row>
    <row r="1352" spans="1:13" x14ac:dyDescent="0.25">
      <c r="A1352" t="s">
        <v>67</v>
      </c>
      <c r="B1352" s="16" t="s">
        <v>16</v>
      </c>
      <c r="C1352" t="s">
        <v>16</v>
      </c>
      <c r="D1352" t="str">
        <f t="shared" si="29"/>
        <v>MERCURY-Leo-Leo</v>
      </c>
      <c r="E1352" s="17" t="s">
        <v>98</v>
      </c>
      <c r="F1352" s="18" t="s">
        <v>7</v>
      </c>
      <c r="G1352" s="19" t="s">
        <v>16</v>
      </c>
      <c r="H1352" s="20" t="s">
        <v>102</v>
      </c>
      <c r="I1352" s="18" t="s">
        <v>27</v>
      </c>
      <c r="J1352" t="s">
        <v>12</v>
      </c>
      <c r="K1352" s="17" t="s">
        <v>103</v>
      </c>
      <c r="L1352" s="18" t="s">
        <v>9</v>
      </c>
      <c r="M1352" t="s">
        <v>18</v>
      </c>
    </row>
    <row r="1353" spans="1:13" x14ac:dyDescent="0.25">
      <c r="A1353" t="s">
        <v>67</v>
      </c>
      <c r="B1353" s="16" t="s">
        <v>16</v>
      </c>
      <c r="C1353" t="s">
        <v>18</v>
      </c>
      <c r="D1353" t="str">
        <f t="shared" si="29"/>
        <v>MERCURY-Leo-Virgo</v>
      </c>
      <c r="E1353" s="17" t="s">
        <v>100</v>
      </c>
      <c r="F1353" s="18" t="s">
        <v>29</v>
      </c>
      <c r="G1353" s="19" t="s">
        <v>16</v>
      </c>
      <c r="H1353" s="20" t="s">
        <v>104</v>
      </c>
      <c r="I1353" s="18" t="s">
        <v>25</v>
      </c>
      <c r="J1353" t="s">
        <v>12</v>
      </c>
      <c r="K1353" s="17" t="s">
        <v>98</v>
      </c>
      <c r="L1353" s="18" t="s">
        <v>7</v>
      </c>
      <c r="M1353" t="s">
        <v>18</v>
      </c>
    </row>
    <row r="1354" spans="1:13" x14ac:dyDescent="0.25">
      <c r="A1354" t="s">
        <v>67</v>
      </c>
      <c r="B1354" s="16" t="s">
        <v>16</v>
      </c>
      <c r="C1354" t="s">
        <v>10</v>
      </c>
      <c r="D1354" t="str">
        <f t="shared" si="29"/>
        <v>MERCURY-Leo-Libra</v>
      </c>
      <c r="E1354" s="17" t="s">
        <v>102</v>
      </c>
      <c r="F1354" s="18" t="s">
        <v>27</v>
      </c>
      <c r="G1354" s="19" t="s">
        <v>16</v>
      </c>
      <c r="H1354" s="20" t="s">
        <v>105</v>
      </c>
      <c r="I1354" s="18" t="s">
        <v>23</v>
      </c>
      <c r="J1354" t="s">
        <v>12</v>
      </c>
      <c r="K1354" s="17" t="s">
        <v>100</v>
      </c>
      <c r="L1354" s="18" t="s">
        <v>29</v>
      </c>
      <c r="M1354" t="s">
        <v>18</v>
      </c>
    </row>
    <row r="1355" spans="1:13" x14ac:dyDescent="0.25">
      <c r="A1355" t="s">
        <v>67</v>
      </c>
      <c r="B1355" s="16" t="s">
        <v>16</v>
      </c>
      <c r="C1355" t="s">
        <v>21</v>
      </c>
      <c r="D1355" t="str">
        <f t="shared" si="29"/>
        <v>MERCURY-Leo-Scorpio</v>
      </c>
      <c r="E1355" s="17" t="s">
        <v>104</v>
      </c>
      <c r="F1355" s="18" t="s">
        <v>25</v>
      </c>
      <c r="G1355" s="19" t="s">
        <v>16</v>
      </c>
      <c r="H1355" s="20" t="s">
        <v>106</v>
      </c>
      <c r="I1355" s="18" t="s">
        <v>21</v>
      </c>
      <c r="J1355" t="s">
        <v>12</v>
      </c>
      <c r="K1355" s="17" t="s">
        <v>102</v>
      </c>
      <c r="L1355" s="18" t="s">
        <v>27</v>
      </c>
      <c r="M1355" t="s">
        <v>18</v>
      </c>
    </row>
    <row r="1356" spans="1:13" x14ac:dyDescent="0.25">
      <c r="A1356" t="s">
        <v>67</v>
      </c>
      <c r="B1356" s="16" t="s">
        <v>16</v>
      </c>
      <c r="C1356" t="s">
        <v>23</v>
      </c>
      <c r="D1356" t="str">
        <f t="shared" si="29"/>
        <v>MERCURY-Leo-Sagittarius</v>
      </c>
      <c r="E1356" s="17" t="s">
        <v>105</v>
      </c>
      <c r="F1356" s="18" t="s">
        <v>23</v>
      </c>
      <c r="G1356" s="19" t="s">
        <v>16</v>
      </c>
      <c r="H1356" s="20" t="s">
        <v>107</v>
      </c>
      <c r="I1356" s="18" t="s">
        <v>10</v>
      </c>
      <c r="J1356" t="s">
        <v>12</v>
      </c>
      <c r="K1356" s="17" t="s">
        <v>104</v>
      </c>
      <c r="L1356" s="18" t="s">
        <v>25</v>
      </c>
      <c r="M1356" t="s">
        <v>18</v>
      </c>
    </row>
    <row r="1357" spans="1:13" x14ac:dyDescent="0.25">
      <c r="A1357" t="s">
        <v>67</v>
      </c>
      <c r="B1357" s="16" t="s">
        <v>16</v>
      </c>
      <c r="C1357" t="s">
        <v>25</v>
      </c>
      <c r="D1357" t="str">
        <f t="shared" si="29"/>
        <v>MERCURY-Leo-Capricorn</v>
      </c>
      <c r="E1357" s="17" t="s">
        <v>106</v>
      </c>
      <c r="F1357" s="18" t="s">
        <v>21</v>
      </c>
      <c r="G1357" s="19" t="s">
        <v>16</v>
      </c>
      <c r="H1357" s="20" t="s">
        <v>108</v>
      </c>
      <c r="I1357" s="18" t="s">
        <v>18</v>
      </c>
      <c r="J1357" t="s">
        <v>12</v>
      </c>
      <c r="K1357" s="17" t="s">
        <v>105</v>
      </c>
      <c r="L1357" s="18" t="s">
        <v>23</v>
      </c>
      <c r="M1357" t="s">
        <v>18</v>
      </c>
    </row>
    <row r="1358" spans="1:13" x14ac:dyDescent="0.25">
      <c r="A1358" t="s">
        <v>67</v>
      </c>
      <c r="B1358" s="16" t="s">
        <v>16</v>
      </c>
      <c r="C1358" t="s">
        <v>27</v>
      </c>
      <c r="D1358" t="str">
        <f t="shared" si="29"/>
        <v>MERCURY-Leo-Aquarius</v>
      </c>
      <c r="E1358" s="17" t="s">
        <v>107</v>
      </c>
      <c r="F1358" s="18" t="s">
        <v>10</v>
      </c>
      <c r="G1358" s="19" t="s">
        <v>16</v>
      </c>
      <c r="H1358" s="20" t="s">
        <v>109</v>
      </c>
      <c r="I1358" s="18" t="s">
        <v>16</v>
      </c>
      <c r="J1358" t="s">
        <v>12</v>
      </c>
      <c r="K1358" s="17" t="s">
        <v>106</v>
      </c>
      <c r="L1358" s="18" t="s">
        <v>21</v>
      </c>
      <c r="M1358" t="s">
        <v>18</v>
      </c>
    </row>
    <row r="1359" spans="1:13" x14ac:dyDescent="0.25">
      <c r="A1359" t="s">
        <v>67</v>
      </c>
      <c r="B1359" s="16" t="s">
        <v>16</v>
      </c>
      <c r="C1359" t="s">
        <v>29</v>
      </c>
      <c r="D1359" t="str">
        <f t="shared" si="29"/>
        <v>MERCURY-Leo-Pisces</v>
      </c>
      <c r="E1359" s="17" t="s">
        <v>108</v>
      </c>
      <c r="F1359" s="18" t="s">
        <v>18</v>
      </c>
      <c r="G1359" s="19" t="s">
        <v>16</v>
      </c>
      <c r="H1359" s="20" t="s">
        <v>99</v>
      </c>
      <c r="I1359" s="18" t="s">
        <v>14</v>
      </c>
      <c r="J1359" t="s">
        <v>12</v>
      </c>
      <c r="K1359" s="17" t="s">
        <v>107</v>
      </c>
      <c r="L1359" s="18" t="s">
        <v>10</v>
      </c>
      <c r="M1359" t="s">
        <v>18</v>
      </c>
    </row>
    <row r="1360" spans="1:13" x14ac:dyDescent="0.25">
      <c r="A1360" t="s">
        <v>67</v>
      </c>
      <c r="B1360" s="16" t="s">
        <v>18</v>
      </c>
      <c r="C1360" t="s">
        <v>7</v>
      </c>
      <c r="D1360" t="str">
        <f t="shared" si="29"/>
        <v>MERCURY-Virgo-Aries</v>
      </c>
      <c r="E1360" s="17" t="s">
        <v>108</v>
      </c>
      <c r="F1360" s="18" t="s">
        <v>18</v>
      </c>
      <c r="G1360" s="19" t="s">
        <v>18</v>
      </c>
      <c r="H1360" s="20" t="s">
        <v>101</v>
      </c>
      <c r="I1360" s="18" t="s">
        <v>12</v>
      </c>
      <c r="J1360" t="s">
        <v>12</v>
      </c>
      <c r="K1360" s="17" t="s">
        <v>108</v>
      </c>
      <c r="L1360" s="18" t="s">
        <v>18</v>
      </c>
      <c r="M1360" t="s">
        <v>18</v>
      </c>
    </row>
    <row r="1361" spans="1:13" x14ac:dyDescent="0.25">
      <c r="A1361" t="s">
        <v>67</v>
      </c>
      <c r="B1361" s="16" t="s">
        <v>18</v>
      </c>
      <c r="C1361" t="s">
        <v>9</v>
      </c>
      <c r="D1361" t="str">
        <f t="shared" si="29"/>
        <v>MERCURY-Virgo-Taurus</v>
      </c>
      <c r="E1361" s="17" t="s">
        <v>109</v>
      </c>
      <c r="F1361" s="18" t="s">
        <v>16</v>
      </c>
      <c r="G1361" s="19" t="s">
        <v>18</v>
      </c>
      <c r="H1361" s="20" t="s">
        <v>103</v>
      </c>
      <c r="I1361" s="18" t="s">
        <v>9</v>
      </c>
      <c r="J1361" t="s">
        <v>12</v>
      </c>
      <c r="K1361" s="17" t="s">
        <v>109</v>
      </c>
      <c r="L1361" s="18" t="s">
        <v>16</v>
      </c>
      <c r="M1361" t="s">
        <v>18</v>
      </c>
    </row>
    <row r="1362" spans="1:13" x14ac:dyDescent="0.25">
      <c r="A1362" t="s">
        <v>67</v>
      </c>
      <c r="B1362" s="16" t="s">
        <v>18</v>
      </c>
      <c r="C1362" t="s">
        <v>12</v>
      </c>
      <c r="D1362" t="str">
        <f t="shared" si="29"/>
        <v>MERCURY-Virgo-Gemini</v>
      </c>
      <c r="E1362" s="17" t="s">
        <v>99</v>
      </c>
      <c r="F1362" s="18" t="s">
        <v>14</v>
      </c>
      <c r="G1362" s="19" t="s">
        <v>18</v>
      </c>
      <c r="H1362" s="20" t="s">
        <v>98</v>
      </c>
      <c r="I1362" s="18" t="s">
        <v>7</v>
      </c>
      <c r="J1362" t="s">
        <v>12</v>
      </c>
      <c r="K1362" s="17" t="s">
        <v>99</v>
      </c>
      <c r="L1362" s="18" t="s">
        <v>14</v>
      </c>
      <c r="M1362" t="s">
        <v>18</v>
      </c>
    </row>
    <row r="1363" spans="1:13" x14ac:dyDescent="0.25">
      <c r="A1363" t="s">
        <v>67</v>
      </c>
      <c r="B1363" s="16" t="s">
        <v>18</v>
      </c>
      <c r="C1363" t="s">
        <v>14</v>
      </c>
      <c r="D1363" t="str">
        <f t="shared" si="29"/>
        <v>MERCURY-Virgo-Cancer</v>
      </c>
      <c r="E1363" s="17" t="s">
        <v>101</v>
      </c>
      <c r="F1363" s="18" t="s">
        <v>12</v>
      </c>
      <c r="G1363" s="19" t="s">
        <v>18</v>
      </c>
      <c r="H1363" s="20" t="s">
        <v>100</v>
      </c>
      <c r="I1363" s="18" t="s">
        <v>29</v>
      </c>
      <c r="J1363" t="s">
        <v>12</v>
      </c>
      <c r="K1363" s="17" t="s">
        <v>101</v>
      </c>
      <c r="L1363" s="18" t="s">
        <v>12</v>
      </c>
      <c r="M1363" t="s">
        <v>18</v>
      </c>
    </row>
    <row r="1364" spans="1:13" x14ac:dyDescent="0.25">
      <c r="A1364" t="s">
        <v>67</v>
      </c>
      <c r="B1364" s="16" t="s">
        <v>18</v>
      </c>
      <c r="C1364" t="s">
        <v>16</v>
      </c>
      <c r="D1364" t="str">
        <f t="shared" si="29"/>
        <v>MERCURY-Virgo-Leo</v>
      </c>
      <c r="E1364" s="17" t="s">
        <v>103</v>
      </c>
      <c r="F1364" s="18" t="s">
        <v>9</v>
      </c>
      <c r="G1364" s="19" t="s">
        <v>18</v>
      </c>
      <c r="H1364" s="20" t="s">
        <v>102</v>
      </c>
      <c r="I1364" s="18" t="s">
        <v>27</v>
      </c>
      <c r="J1364" t="s">
        <v>12</v>
      </c>
      <c r="K1364" s="17" t="s">
        <v>103</v>
      </c>
      <c r="L1364" s="18" t="s">
        <v>9</v>
      </c>
      <c r="M1364" t="s">
        <v>18</v>
      </c>
    </row>
    <row r="1365" spans="1:13" x14ac:dyDescent="0.25">
      <c r="A1365" t="s">
        <v>67</v>
      </c>
      <c r="B1365" s="16" t="s">
        <v>18</v>
      </c>
      <c r="C1365" t="s">
        <v>18</v>
      </c>
      <c r="D1365" t="str">
        <f t="shared" ref="D1365:D1428" si="30">A1365&amp;"-"&amp;B1365&amp;"-"&amp;C1365</f>
        <v>MERCURY-Virgo-Virgo</v>
      </c>
      <c r="E1365" s="17" t="s">
        <v>98</v>
      </c>
      <c r="F1365" s="18" t="s">
        <v>7</v>
      </c>
      <c r="G1365" s="19" t="s">
        <v>18</v>
      </c>
      <c r="H1365" s="20" t="s">
        <v>104</v>
      </c>
      <c r="I1365" s="18" t="s">
        <v>25</v>
      </c>
      <c r="J1365" t="s">
        <v>12</v>
      </c>
      <c r="K1365" s="17" t="s">
        <v>98</v>
      </c>
      <c r="L1365" s="18" t="s">
        <v>7</v>
      </c>
      <c r="M1365" t="s">
        <v>18</v>
      </c>
    </row>
    <row r="1366" spans="1:13" x14ac:dyDescent="0.25">
      <c r="A1366" t="s">
        <v>67</v>
      </c>
      <c r="B1366" s="16" t="s">
        <v>18</v>
      </c>
      <c r="C1366" t="s">
        <v>10</v>
      </c>
      <c r="D1366" t="str">
        <f t="shared" si="30"/>
        <v>MERCURY-Virgo-Libra</v>
      </c>
      <c r="E1366" s="17" t="s">
        <v>100</v>
      </c>
      <c r="F1366" s="18" t="s">
        <v>29</v>
      </c>
      <c r="G1366" s="19" t="s">
        <v>18</v>
      </c>
      <c r="H1366" s="20" t="s">
        <v>105</v>
      </c>
      <c r="I1366" s="18" t="s">
        <v>23</v>
      </c>
      <c r="J1366" t="s">
        <v>12</v>
      </c>
      <c r="K1366" s="17" t="s">
        <v>100</v>
      </c>
      <c r="L1366" s="18" t="s">
        <v>29</v>
      </c>
      <c r="M1366" t="s">
        <v>18</v>
      </c>
    </row>
    <row r="1367" spans="1:13" x14ac:dyDescent="0.25">
      <c r="A1367" t="s">
        <v>67</v>
      </c>
      <c r="B1367" s="16" t="s">
        <v>18</v>
      </c>
      <c r="C1367" t="s">
        <v>21</v>
      </c>
      <c r="D1367" t="str">
        <f t="shared" si="30"/>
        <v>MERCURY-Virgo-Scorpio</v>
      </c>
      <c r="E1367" s="17" t="s">
        <v>102</v>
      </c>
      <c r="F1367" s="18" t="s">
        <v>27</v>
      </c>
      <c r="G1367" s="19" t="s">
        <v>18</v>
      </c>
      <c r="H1367" s="20" t="s">
        <v>106</v>
      </c>
      <c r="I1367" s="18" t="s">
        <v>21</v>
      </c>
      <c r="J1367" t="s">
        <v>12</v>
      </c>
      <c r="K1367" s="17" t="s">
        <v>102</v>
      </c>
      <c r="L1367" s="18" t="s">
        <v>27</v>
      </c>
      <c r="M1367" t="s">
        <v>18</v>
      </c>
    </row>
    <row r="1368" spans="1:13" x14ac:dyDescent="0.25">
      <c r="A1368" t="s">
        <v>67</v>
      </c>
      <c r="B1368" s="16" t="s">
        <v>18</v>
      </c>
      <c r="C1368" t="s">
        <v>23</v>
      </c>
      <c r="D1368" t="str">
        <f t="shared" si="30"/>
        <v>MERCURY-Virgo-Sagittarius</v>
      </c>
      <c r="E1368" s="17" t="s">
        <v>104</v>
      </c>
      <c r="F1368" s="18" t="s">
        <v>25</v>
      </c>
      <c r="G1368" s="19" t="s">
        <v>18</v>
      </c>
      <c r="H1368" s="20" t="s">
        <v>107</v>
      </c>
      <c r="I1368" s="18" t="s">
        <v>10</v>
      </c>
      <c r="J1368" t="s">
        <v>12</v>
      </c>
      <c r="K1368" s="17" t="s">
        <v>104</v>
      </c>
      <c r="L1368" s="18" t="s">
        <v>25</v>
      </c>
      <c r="M1368" t="s">
        <v>18</v>
      </c>
    </row>
    <row r="1369" spans="1:13" x14ac:dyDescent="0.25">
      <c r="A1369" t="s">
        <v>67</v>
      </c>
      <c r="B1369" s="16" t="s">
        <v>18</v>
      </c>
      <c r="C1369" t="s">
        <v>25</v>
      </c>
      <c r="D1369" t="str">
        <f t="shared" si="30"/>
        <v>MERCURY-Virgo-Capricorn</v>
      </c>
      <c r="E1369" s="17" t="s">
        <v>105</v>
      </c>
      <c r="F1369" s="18" t="s">
        <v>23</v>
      </c>
      <c r="G1369" s="19" t="s">
        <v>18</v>
      </c>
      <c r="H1369" s="20" t="s">
        <v>108</v>
      </c>
      <c r="I1369" s="18" t="s">
        <v>18</v>
      </c>
      <c r="J1369" t="s">
        <v>12</v>
      </c>
      <c r="K1369" s="17" t="s">
        <v>105</v>
      </c>
      <c r="L1369" s="18" t="s">
        <v>23</v>
      </c>
      <c r="M1369" t="s">
        <v>18</v>
      </c>
    </row>
    <row r="1370" spans="1:13" x14ac:dyDescent="0.25">
      <c r="A1370" t="s">
        <v>67</v>
      </c>
      <c r="B1370" s="16" t="s">
        <v>18</v>
      </c>
      <c r="C1370" t="s">
        <v>27</v>
      </c>
      <c r="D1370" t="str">
        <f t="shared" si="30"/>
        <v>MERCURY-Virgo-Aquarius</v>
      </c>
      <c r="E1370" s="17" t="s">
        <v>106</v>
      </c>
      <c r="F1370" s="18" t="s">
        <v>21</v>
      </c>
      <c r="G1370" s="19" t="s">
        <v>18</v>
      </c>
      <c r="H1370" s="20" t="s">
        <v>109</v>
      </c>
      <c r="I1370" s="18" t="s">
        <v>16</v>
      </c>
      <c r="J1370" t="s">
        <v>12</v>
      </c>
      <c r="K1370" s="17" t="s">
        <v>106</v>
      </c>
      <c r="L1370" s="18" t="s">
        <v>21</v>
      </c>
      <c r="M1370" t="s">
        <v>18</v>
      </c>
    </row>
    <row r="1371" spans="1:13" x14ac:dyDescent="0.25">
      <c r="A1371" t="s">
        <v>67</v>
      </c>
      <c r="B1371" s="16" t="s">
        <v>18</v>
      </c>
      <c r="C1371" t="s">
        <v>29</v>
      </c>
      <c r="D1371" t="str">
        <f t="shared" si="30"/>
        <v>MERCURY-Virgo-Pisces</v>
      </c>
      <c r="E1371" s="17" t="s">
        <v>107</v>
      </c>
      <c r="F1371" s="18" t="s">
        <v>10</v>
      </c>
      <c r="G1371" s="19" t="s">
        <v>18</v>
      </c>
      <c r="H1371" s="20" t="s">
        <v>99</v>
      </c>
      <c r="I1371" s="18" t="s">
        <v>14</v>
      </c>
      <c r="J1371" t="s">
        <v>12</v>
      </c>
      <c r="K1371" s="17" t="s">
        <v>107</v>
      </c>
      <c r="L1371" s="18" t="s">
        <v>10</v>
      </c>
      <c r="M1371" t="s">
        <v>18</v>
      </c>
    </row>
    <row r="1372" spans="1:13" x14ac:dyDescent="0.25">
      <c r="A1372" t="s">
        <v>67</v>
      </c>
      <c r="B1372" s="16" t="s">
        <v>10</v>
      </c>
      <c r="C1372" t="s">
        <v>7</v>
      </c>
      <c r="D1372" t="str">
        <f t="shared" si="30"/>
        <v>MERCURY-Libra-Aries</v>
      </c>
      <c r="E1372" s="17" t="s">
        <v>107</v>
      </c>
      <c r="F1372" s="18" t="s">
        <v>10</v>
      </c>
      <c r="G1372" s="19" t="s">
        <v>10</v>
      </c>
      <c r="H1372" s="20" t="s">
        <v>101</v>
      </c>
      <c r="I1372" s="18" t="s">
        <v>12</v>
      </c>
      <c r="J1372" t="s">
        <v>12</v>
      </c>
      <c r="K1372" s="17" t="s">
        <v>108</v>
      </c>
      <c r="L1372" s="18" t="s">
        <v>18</v>
      </c>
      <c r="M1372" t="s">
        <v>18</v>
      </c>
    </row>
    <row r="1373" spans="1:13" x14ac:dyDescent="0.25">
      <c r="A1373" t="s">
        <v>67</v>
      </c>
      <c r="B1373" s="16" t="s">
        <v>10</v>
      </c>
      <c r="C1373" t="s">
        <v>9</v>
      </c>
      <c r="D1373" t="str">
        <f t="shared" si="30"/>
        <v>MERCURY-Libra-Taurus</v>
      </c>
      <c r="E1373" s="17" t="s">
        <v>108</v>
      </c>
      <c r="F1373" s="18" t="s">
        <v>18</v>
      </c>
      <c r="G1373" s="19" t="s">
        <v>10</v>
      </c>
      <c r="H1373" s="20" t="s">
        <v>103</v>
      </c>
      <c r="I1373" s="18" t="s">
        <v>9</v>
      </c>
      <c r="J1373" t="s">
        <v>12</v>
      </c>
      <c r="K1373" s="17" t="s">
        <v>109</v>
      </c>
      <c r="L1373" s="18" t="s">
        <v>16</v>
      </c>
      <c r="M1373" t="s">
        <v>18</v>
      </c>
    </row>
    <row r="1374" spans="1:13" x14ac:dyDescent="0.25">
      <c r="A1374" t="s">
        <v>67</v>
      </c>
      <c r="B1374" s="16" t="s">
        <v>10</v>
      </c>
      <c r="C1374" t="s">
        <v>12</v>
      </c>
      <c r="D1374" t="str">
        <f t="shared" si="30"/>
        <v>MERCURY-Libra-Gemini</v>
      </c>
      <c r="E1374" s="17" t="s">
        <v>109</v>
      </c>
      <c r="F1374" s="18" t="s">
        <v>16</v>
      </c>
      <c r="G1374" s="19" t="s">
        <v>10</v>
      </c>
      <c r="H1374" s="20" t="s">
        <v>98</v>
      </c>
      <c r="I1374" s="18" t="s">
        <v>7</v>
      </c>
      <c r="J1374" t="s">
        <v>12</v>
      </c>
      <c r="K1374" s="17" t="s">
        <v>99</v>
      </c>
      <c r="L1374" s="18" t="s">
        <v>14</v>
      </c>
      <c r="M1374" t="s">
        <v>18</v>
      </c>
    </row>
    <row r="1375" spans="1:13" x14ac:dyDescent="0.25">
      <c r="A1375" t="s">
        <v>67</v>
      </c>
      <c r="B1375" s="16" t="s">
        <v>10</v>
      </c>
      <c r="C1375" t="s">
        <v>14</v>
      </c>
      <c r="D1375" t="str">
        <f t="shared" si="30"/>
        <v>MERCURY-Libra-Cancer</v>
      </c>
      <c r="E1375" s="17" t="s">
        <v>99</v>
      </c>
      <c r="F1375" s="18" t="s">
        <v>14</v>
      </c>
      <c r="G1375" s="19" t="s">
        <v>10</v>
      </c>
      <c r="H1375" s="20" t="s">
        <v>100</v>
      </c>
      <c r="I1375" s="18" t="s">
        <v>29</v>
      </c>
      <c r="J1375" t="s">
        <v>12</v>
      </c>
      <c r="K1375" s="17" t="s">
        <v>101</v>
      </c>
      <c r="L1375" s="18" t="s">
        <v>12</v>
      </c>
      <c r="M1375" t="s">
        <v>18</v>
      </c>
    </row>
    <row r="1376" spans="1:13" x14ac:dyDescent="0.25">
      <c r="A1376" t="s">
        <v>67</v>
      </c>
      <c r="B1376" s="16" t="s">
        <v>10</v>
      </c>
      <c r="C1376" t="s">
        <v>16</v>
      </c>
      <c r="D1376" t="str">
        <f t="shared" si="30"/>
        <v>MERCURY-Libra-Leo</v>
      </c>
      <c r="E1376" s="17" t="s">
        <v>101</v>
      </c>
      <c r="F1376" s="18" t="s">
        <v>12</v>
      </c>
      <c r="G1376" s="19" t="s">
        <v>10</v>
      </c>
      <c r="H1376" s="20" t="s">
        <v>102</v>
      </c>
      <c r="I1376" s="18" t="s">
        <v>27</v>
      </c>
      <c r="J1376" t="s">
        <v>12</v>
      </c>
      <c r="K1376" s="17" t="s">
        <v>103</v>
      </c>
      <c r="L1376" s="18" t="s">
        <v>9</v>
      </c>
      <c r="M1376" t="s">
        <v>18</v>
      </c>
    </row>
    <row r="1377" spans="1:13" x14ac:dyDescent="0.25">
      <c r="A1377" t="s">
        <v>67</v>
      </c>
      <c r="B1377" s="16" t="s">
        <v>10</v>
      </c>
      <c r="C1377" t="s">
        <v>18</v>
      </c>
      <c r="D1377" t="str">
        <f t="shared" si="30"/>
        <v>MERCURY-Libra-Virgo</v>
      </c>
      <c r="E1377" s="17" t="s">
        <v>103</v>
      </c>
      <c r="F1377" s="18" t="s">
        <v>9</v>
      </c>
      <c r="G1377" s="19" t="s">
        <v>10</v>
      </c>
      <c r="H1377" s="20" t="s">
        <v>104</v>
      </c>
      <c r="I1377" s="18" t="s">
        <v>25</v>
      </c>
      <c r="J1377" t="s">
        <v>12</v>
      </c>
      <c r="K1377" s="17" t="s">
        <v>98</v>
      </c>
      <c r="L1377" s="18" t="s">
        <v>7</v>
      </c>
      <c r="M1377" t="s">
        <v>18</v>
      </c>
    </row>
    <row r="1378" spans="1:13" x14ac:dyDescent="0.25">
      <c r="A1378" t="s">
        <v>67</v>
      </c>
      <c r="B1378" s="16" t="s">
        <v>10</v>
      </c>
      <c r="C1378" t="s">
        <v>10</v>
      </c>
      <c r="D1378" t="str">
        <f t="shared" si="30"/>
        <v>MERCURY-Libra-Libra</v>
      </c>
      <c r="E1378" s="17" t="s">
        <v>98</v>
      </c>
      <c r="F1378" s="18" t="s">
        <v>7</v>
      </c>
      <c r="G1378" s="19" t="s">
        <v>10</v>
      </c>
      <c r="H1378" s="20" t="s">
        <v>105</v>
      </c>
      <c r="I1378" s="18" t="s">
        <v>23</v>
      </c>
      <c r="J1378" t="s">
        <v>12</v>
      </c>
      <c r="K1378" s="17" t="s">
        <v>100</v>
      </c>
      <c r="L1378" s="18" t="s">
        <v>29</v>
      </c>
      <c r="M1378" t="s">
        <v>18</v>
      </c>
    </row>
    <row r="1379" spans="1:13" x14ac:dyDescent="0.25">
      <c r="A1379" t="s">
        <v>67</v>
      </c>
      <c r="B1379" s="16" t="s">
        <v>10</v>
      </c>
      <c r="C1379" t="s">
        <v>21</v>
      </c>
      <c r="D1379" t="str">
        <f t="shared" si="30"/>
        <v>MERCURY-Libra-Scorpio</v>
      </c>
      <c r="E1379" s="17" t="s">
        <v>100</v>
      </c>
      <c r="F1379" s="18" t="s">
        <v>29</v>
      </c>
      <c r="G1379" s="19" t="s">
        <v>10</v>
      </c>
      <c r="H1379" s="20" t="s">
        <v>106</v>
      </c>
      <c r="I1379" s="18" t="s">
        <v>21</v>
      </c>
      <c r="J1379" t="s">
        <v>12</v>
      </c>
      <c r="K1379" s="17" t="s">
        <v>102</v>
      </c>
      <c r="L1379" s="18" t="s">
        <v>27</v>
      </c>
      <c r="M1379" t="s">
        <v>18</v>
      </c>
    </row>
    <row r="1380" spans="1:13" x14ac:dyDescent="0.25">
      <c r="A1380" t="s">
        <v>67</v>
      </c>
      <c r="B1380" s="16" t="s">
        <v>10</v>
      </c>
      <c r="C1380" t="s">
        <v>23</v>
      </c>
      <c r="D1380" t="str">
        <f t="shared" si="30"/>
        <v>MERCURY-Libra-Sagittarius</v>
      </c>
      <c r="E1380" s="17" t="s">
        <v>102</v>
      </c>
      <c r="F1380" s="18" t="s">
        <v>27</v>
      </c>
      <c r="G1380" s="19" t="s">
        <v>10</v>
      </c>
      <c r="H1380" s="20" t="s">
        <v>107</v>
      </c>
      <c r="I1380" s="18" t="s">
        <v>10</v>
      </c>
      <c r="J1380" t="s">
        <v>12</v>
      </c>
      <c r="K1380" s="17" t="s">
        <v>104</v>
      </c>
      <c r="L1380" s="18" t="s">
        <v>25</v>
      </c>
      <c r="M1380" t="s">
        <v>18</v>
      </c>
    </row>
    <row r="1381" spans="1:13" x14ac:dyDescent="0.25">
      <c r="A1381" t="s">
        <v>67</v>
      </c>
      <c r="B1381" s="16" t="s">
        <v>10</v>
      </c>
      <c r="C1381" t="s">
        <v>25</v>
      </c>
      <c r="D1381" t="str">
        <f t="shared" si="30"/>
        <v>MERCURY-Libra-Capricorn</v>
      </c>
      <c r="E1381" s="17" t="s">
        <v>104</v>
      </c>
      <c r="F1381" s="18" t="s">
        <v>25</v>
      </c>
      <c r="G1381" s="19" t="s">
        <v>10</v>
      </c>
      <c r="H1381" s="20" t="s">
        <v>108</v>
      </c>
      <c r="I1381" s="18" t="s">
        <v>18</v>
      </c>
      <c r="J1381" t="s">
        <v>12</v>
      </c>
      <c r="K1381" s="17" t="s">
        <v>105</v>
      </c>
      <c r="L1381" s="18" t="s">
        <v>23</v>
      </c>
      <c r="M1381" t="s">
        <v>18</v>
      </c>
    </row>
    <row r="1382" spans="1:13" x14ac:dyDescent="0.25">
      <c r="A1382" t="s">
        <v>67</v>
      </c>
      <c r="B1382" s="16" t="s">
        <v>10</v>
      </c>
      <c r="C1382" t="s">
        <v>27</v>
      </c>
      <c r="D1382" t="str">
        <f t="shared" si="30"/>
        <v>MERCURY-Libra-Aquarius</v>
      </c>
      <c r="E1382" s="17" t="s">
        <v>105</v>
      </c>
      <c r="F1382" s="18" t="s">
        <v>23</v>
      </c>
      <c r="G1382" s="19" t="s">
        <v>10</v>
      </c>
      <c r="H1382" s="20" t="s">
        <v>109</v>
      </c>
      <c r="I1382" s="18" t="s">
        <v>16</v>
      </c>
      <c r="J1382" t="s">
        <v>12</v>
      </c>
      <c r="K1382" s="17" t="s">
        <v>106</v>
      </c>
      <c r="L1382" s="18" t="s">
        <v>21</v>
      </c>
      <c r="M1382" t="s">
        <v>18</v>
      </c>
    </row>
    <row r="1383" spans="1:13" x14ac:dyDescent="0.25">
      <c r="A1383" t="s">
        <v>67</v>
      </c>
      <c r="B1383" s="16" t="s">
        <v>10</v>
      </c>
      <c r="C1383" t="s">
        <v>29</v>
      </c>
      <c r="D1383" t="str">
        <f t="shared" si="30"/>
        <v>MERCURY-Libra-Pisces</v>
      </c>
      <c r="E1383" s="17" t="s">
        <v>106</v>
      </c>
      <c r="F1383" s="18" t="s">
        <v>21</v>
      </c>
      <c r="G1383" s="19" t="s">
        <v>10</v>
      </c>
      <c r="H1383" s="20" t="s">
        <v>99</v>
      </c>
      <c r="I1383" s="18" t="s">
        <v>14</v>
      </c>
      <c r="J1383" t="s">
        <v>12</v>
      </c>
      <c r="K1383" s="17" t="s">
        <v>107</v>
      </c>
      <c r="L1383" s="18" t="s">
        <v>10</v>
      </c>
      <c r="M1383" t="s">
        <v>18</v>
      </c>
    </row>
    <row r="1384" spans="1:13" x14ac:dyDescent="0.25">
      <c r="A1384" t="s">
        <v>67</v>
      </c>
      <c r="B1384" s="16" t="s">
        <v>21</v>
      </c>
      <c r="C1384" t="s">
        <v>7</v>
      </c>
      <c r="D1384" t="str">
        <f t="shared" si="30"/>
        <v>MERCURY-Scorpio-Aries</v>
      </c>
      <c r="E1384" s="17" t="s">
        <v>106</v>
      </c>
      <c r="F1384" s="18" t="s">
        <v>21</v>
      </c>
      <c r="G1384" s="19" t="s">
        <v>21</v>
      </c>
      <c r="H1384" s="20" t="s">
        <v>101</v>
      </c>
      <c r="I1384" s="18" t="s">
        <v>12</v>
      </c>
      <c r="J1384" t="s">
        <v>12</v>
      </c>
      <c r="K1384" s="17" t="s">
        <v>108</v>
      </c>
      <c r="L1384" s="18" t="s">
        <v>18</v>
      </c>
      <c r="M1384" t="s">
        <v>18</v>
      </c>
    </row>
    <row r="1385" spans="1:13" x14ac:dyDescent="0.25">
      <c r="A1385" t="s">
        <v>67</v>
      </c>
      <c r="B1385" s="16" t="s">
        <v>21</v>
      </c>
      <c r="C1385" t="s">
        <v>9</v>
      </c>
      <c r="D1385" t="str">
        <f t="shared" si="30"/>
        <v>MERCURY-Scorpio-Taurus</v>
      </c>
      <c r="E1385" s="17" t="s">
        <v>107</v>
      </c>
      <c r="F1385" s="18" t="s">
        <v>10</v>
      </c>
      <c r="G1385" s="19" t="s">
        <v>21</v>
      </c>
      <c r="H1385" s="20" t="s">
        <v>103</v>
      </c>
      <c r="I1385" s="18" t="s">
        <v>9</v>
      </c>
      <c r="J1385" t="s">
        <v>12</v>
      </c>
      <c r="K1385" s="17" t="s">
        <v>109</v>
      </c>
      <c r="L1385" s="18" t="s">
        <v>16</v>
      </c>
      <c r="M1385" t="s">
        <v>18</v>
      </c>
    </row>
    <row r="1386" spans="1:13" x14ac:dyDescent="0.25">
      <c r="A1386" t="s">
        <v>67</v>
      </c>
      <c r="B1386" s="16" t="s">
        <v>21</v>
      </c>
      <c r="C1386" t="s">
        <v>12</v>
      </c>
      <c r="D1386" t="str">
        <f t="shared" si="30"/>
        <v>MERCURY-Scorpio-Gemini</v>
      </c>
      <c r="E1386" s="17" t="s">
        <v>108</v>
      </c>
      <c r="F1386" s="18" t="s">
        <v>18</v>
      </c>
      <c r="G1386" s="19" t="s">
        <v>21</v>
      </c>
      <c r="H1386" s="20" t="s">
        <v>98</v>
      </c>
      <c r="I1386" s="18" t="s">
        <v>7</v>
      </c>
      <c r="J1386" t="s">
        <v>12</v>
      </c>
      <c r="K1386" s="17" t="s">
        <v>99</v>
      </c>
      <c r="L1386" s="18" t="s">
        <v>14</v>
      </c>
      <c r="M1386" t="s">
        <v>18</v>
      </c>
    </row>
    <row r="1387" spans="1:13" x14ac:dyDescent="0.25">
      <c r="A1387" t="s">
        <v>67</v>
      </c>
      <c r="B1387" s="16" t="s">
        <v>21</v>
      </c>
      <c r="C1387" t="s">
        <v>14</v>
      </c>
      <c r="D1387" t="str">
        <f t="shared" si="30"/>
        <v>MERCURY-Scorpio-Cancer</v>
      </c>
      <c r="E1387" s="17" t="s">
        <v>109</v>
      </c>
      <c r="F1387" s="18" t="s">
        <v>16</v>
      </c>
      <c r="G1387" s="19" t="s">
        <v>21</v>
      </c>
      <c r="H1387" s="20" t="s">
        <v>100</v>
      </c>
      <c r="I1387" s="18" t="s">
        <v>29</v>
      </c>
      <c r="J1387" t="s">
        <v>12</v>
      </c>
      <c r="K1387" s="17" t="s">
        <v>101</v>
      </c>
      <c r="L1387" s="18" t="s">
        <v>12</v>
      </c>
      <c r="M1387" t="s">
        <v>18</v>
      </c>
    </row>
    <row r="1388" spans="1:13" x14ac:dyDescent="0.25">
      <c r="A1388" t="s">
        <v>67</v>
      </c>
      <c r="B1388" s="16" t="s">
        <v>21</v>
      </c>
      <c r="C1388" t="s">
        <v>16</v>
      </c>
      <c r="D1388" t="str">
        <f t="shared" si="30"/>
        <v>MERCURY-Scorpio-Leo</v>
      </c>
      <c r="E1388" s="17" t="s">
        <v>99</v>
      </c>
      <c r="F1388" s="18" t="s">
        <v>14</v>
      </c>
      <c r="G1388" s="19" t="s">
        <v>21</v>
      </c>
      <c r="H1388" s="20" t="s">
        <v>102</v>
      </c>
      <c r="I1388" s="18" t="s">
        <v>27</v>
      </c>
      <c r="J1388" t="s">
        <v>12</v>
      </c>
      <c r="K1388" s="17" t="s">
        <v>103</v>
      </c>
      <c r="L1388" s="18" t="s">
        <v>9</v>
      </c>
      <c r="M1388" t="s">
        <v>18</v>
      </c>
    </row>
    <row r="1389" spans="1:13" x14ac:dyDescent="0.25">
      <c r="A1389" t="s">
        <v>67</v>
      </c>
      <c r="B1389" s="16" t="s">
        <v>21</v>
      </c>
      <c r="C1389" t="s">
        <v>18</v>
      </c>
      <c r="D1389" t="str">
        <f t="shared" si="30"/>
        <v>MERCURY-Scorpio-Virgo</v>
      </c>
      <c r="E1389" s="17" t="s">
        <v>101</v>
      </c>
      <c r="F1389" s="18" t="s">
        <v>12</v>
      </c>
      <c r="G1389" s="19" t="s">
        <v>21</v>
      </c>
      <c r="H1389" s="20" t="s">
        <v>104</v>
      </c>
      <c r="I1389" s="18" t="s">
        <v>25</v>
      </c>
      <c r="J1389" t="s">
        <v>12</v>
      </c>
      <c r="K1389" s="17" t="s">
        <v>98</v>
      </c>
      <c r="L1389" s="18" t="s">
        <v>7</v>
      </c>
      <c r="M1389" t="s">
        <v>18</v>
      </c>
    </row>
    <row r="1390" spans="1:13" x14ac:dyDescent="0.25">
      <c r="A1390" t="s">
        <v>67</v>
      </c>
      <c r="B1390" s="16" t="s">
        <v>21</v>
      </c>
      <c r="C1390" t="s">
        <v>10</v>
      </c>
      <c r="D1390" t="str">
        <f t="shared" si="30"/>
        <v>MERCURY-Scorpio-Libra</v>
      </c>
      <c r="E1390" s="17" t="s">
        <v>103</v>
      </c>
      <c r="F1390" s="18" t="s">
        <v>9</v>
      </c>
      <c r="G1390" s="19" t="s">
        <v>21</v>
      </c>
      <c r="H1390" s="20" t="s">
        <v>105</v>
      </c>
      <c r="I1390" s="18" t="s">
        <v>23</v>
      </c>
      <c r="J1390" t="s">
        <v>12</v>
      </c>
      <c r="K1390" s="17" t="s">
        <v>100</v>
      </c>
      <c r="L1390" s="18" t="s">
        <v>29</v>
      </c>
      <c r="M1390" t="s">
        <v>18</v>
      </c>
    </row>
    <row r="1391" spans="1:13" x14ac:dyDescent="0.25">
      <c r="A1391" t="s">
        <v>67</v>
      </c>
      <c r="B1391" s="16" t="s">
        <v>21</v>
      </c>
      <c r="C1391" t="s">
        <v>21</v>
      </c>
      <c r="D1391" t="str">
        <f t="shared" si="30"/>
        <v>MERCURY-Scorpio-Scorpio</v>
      </c>
      <c r="E1391" s="17" t="s">
        <v>98</v>
      </c>
      <c r="F1391" s="18" t="s">
        <v>7</v>
      </c>
      <c r="G1391" s="19" t="s">
        <v>21</v>
      </c>
      <c r="H1391" s="20" t="s">
        <v>106</v>
      </c>
      <c r="I1391" s="18" t="s">
        <v>21</v>
      </c>
      <c r="J1391" t="s">
        <v>12</v>
      </c>
      <c r="K1391" s="17" t="s">
        <v>102</v>
      </c>
      <c r="L1391" s="18" t="s">
        <v>27</v>
      </c>
      <c r="M1391" t="s">
        <v>18</v>
      </c>
    </row>
    <row r="1392" spans="1:13" x14ac:dyDescent="0.25">
      <c r="A1392" t="s">
        <v>67</v>
      </c>
      <c r="B1392" s="16" t="s">
        <v>21</v>
      </c>
      <c r="C1392" t="s">
        <v>23</v>
      </c>
      <c r="D1392" t="str">
        <f t="shared" si="30"/>
        <v>MERCURY-Scorpio-Sagittarius</v>
      </c>
      <c r="E1392" s="17" t="s">
        <v>100</v>
      </c>
      <c r="F1392" s="18" t="s">
        <v>29</v>
      </c>
      <c r="G1392" s="19" t="s">
        <v>21</v>
      </c>
      <c r="H1392" s="20" t="s">
        <v>107</v>
      </c>
      <c r="I1392" s="18" t="s">
        <v>10</v>
      </c>
      <c r="J1392" t="s">
        <v>12</v>
      </c>
      <c r="K1392" s="17" t="s">
        <v>104</v>
      </c>
      <c r="L1392" s="18" t="s">
        <v>25</v>
      </c>
      <c r="M1392" t="s">
        <v>18</v>
      </c>
    </row>
    <row r="1393" spans="1:13" x14ac:dyDescent="0.25">
      <c r="A1393" t="s">
        <v>67</v>
      </c>
      <c r="B1393" s="16" t="s">
        <v>21</v>
      </c>
      <c r="C1393" t="s">
        <v>25</v>
      </c>
      <c r="D1393" t="str">
        <f t="shared" si="30"/>
        <v>MERCURY-Scorpio-Capricorn</v>
      </c>
      <c r="E1393" s="17" t="s">
        <v>102</v>
      </c>
      <c r="F1393" s="18" t="s">
        <v>27</v>
      </c>
      <c r="G1393" s="19" t="s">
        <v>21</v>
      </c>
      <c r="H1393" s="20" t="s">
        <v>108</v>
      </c>
      <c r="I1393" s="18" t="s">
        <v>18</v>
      </c>
      <c r="J1393" t="s">
        <v>12</v>
      </c>
      <c r="K1393" s="17" t="s">
        <v>105</v>
      </c>
      <c r="L1393" s="18" t="s">
        <v>23</v>
      </c>
      <c r="M1393" t="s">
        <v>18</v>
      </c>
    </row>
    <row r="1394" spans="1:13" x14ac:dyDescent="0.25">
      <c r="A1394" t="s">
        <v>67</v>
      </c>
      <c r="B1394" s="16" t="s">
        <v>21</v>
      </c>
      <c r="C1394" t="s">
        <v>27</v>
      </c>
      <c r="D1394" t="str">
        <f t="shared" si="30"/>
        <v>MERCURY-Scorpio-Aquarius</v>
      </c>
      <c r="E1394" s="17" t="s">
        <v>104</v>
      </c>
      <c r="F1394" s="18" t="s">
        <v>25</v>
      </c>
      <c r="G1394" s="19" t="s">
        <v>21</v>
      </c>
      <c r="H1394" s="20" t="s">
        <v>109</v>
      </c>
      <c r="I1394" s="18" t="s">
        <v>16</v>
      </c>
      <c r="J1394" t="s">
        <v>12</v>
      </c>
      <c r="K1394" s="17" t="s">
        <v>106</v>
      </c>
      <c r="L1394" s="18" t="s">
        <v>21</v>
      </c>
      <c r="M1394" t="s">
        <v>18</v>
      </c>
    </row>
    <row r="1395" spans="1:13" x14ac:dyDescent="0.25">
      <c r="A1395" t="s">
        <v>67</v>
      </c>
      <c r="B1395" s="16" t="s">
        <v>21</v>
      </c>
      <c r="C1395" t="s">
        <v>29</v>
      </c>
      <c r="D1395" t="str">
        <f t="shared" si="30"/>
        <v>MERCURY-Scorpio-Pisces</v>
      </c>
      <c r="E1395" s="17" t="s">
        <v>105</v>
      </c>
      <c r="F1395" s="18" t="s">
        <v>23</v>
      </c>
      <c r="G1395" s="19" t="s">
        <v>21</v>
      </c>
      <c r="H1395" s="20" t="s">
        <v>99</v>
      </c>
      <c r="I1395" s="18" t="s">
        <v>14</v>
      </c>
      <c r="J1395" t="s">
        <v>12</v>
      </c>
      <c r="K1395" s="17" t="s">
        <v>107</v>
      </c>
      <c r="L1395" s="18" t="s">
        <v>10</v>
      </c>
      <c r="M1395" t="s">
        <v>18</v>
      </c>
    </row>
    <row r="1396" spans="1:13" x14ac:dyDescent="0.25">
      <c r="A1396" t="s">
        <v>67</v>
      </c>
      <c r="B1396" s="16" t="s">
        <v>23</v>
      </c>
      <c r="C1396" t="s">
        <v>7</v>
      </c>
      <c r="D1396" t="str">
        <f t="shared" si="30"/>
        <v>MERCURY-Sagittarius-Aries</v>
      </c>
      <c r="E1396" s="17" t="s">
        <v>105</v>
      </c>
      <c r="F1396" s="18" t="s">
        <v>23</v>
      </c>
      <c r="G1396" s="19" t="s">
        <v>23</v>
      </c>
      <c r="H1396" s="20" t="s">
        <v>101</v>
      </c>
      <c r="I1396" s="18" t="s">
        <v>12</v>
      </c>
      <c r="J1396" t="s">
        <v>12</v>
      </c>
      <c r="K1396" s="17" t="s">
        <v>108</v>
      </c>
      <c r="L1396" s="18" t="s">
        <v>18</v>
      </c>
      <c r="M1396" t="s">
        <v>18</v>
      </c>
    </row>
    <row r="1397" spans="1:13" x14ac:dyDescent="0.25">
      <c r="A1397" t="s">
        <v>67</v>
      </c>
      <c r="B1397" s="16" t="s">
        <v>23</v>
      </c>
      <c r="C1397" t="s">
        <v>9</v>
      </c>
      <c r="D1397" t="str">
        <f t="shared" si="30"/>
        <v>MERCURY-Sagittarius-Taurus</v>
      </c>
      <c r="E1397" s="17" t="s">
        <v>106</v>
      </c>
      <c r="F1397" s="18" t="s">
        <v>21</v>
      </c>
      <c r="G1397" s="19" t="s">
        <v>23</v>
      </c>
      <c r="H1397" s="20" t="s">
        <v>103</v>
      </c>
      <c r="I1397" s="18" t="s">
        <v>9</v>
      </c>
      <c r="J1397" t="s">
        <v>12</v>
      </c>
      <c r="K1397" s="17" t="s">
        <v>109</v>
      </c>
      <c r="L1397" s="18" t="s">
        <v>16</v>
      </c>
      <c r="M1397" t="s">
        <v>18</v>
      </c>
    </row>
    <row r="1398" spans="1:13" x14ac:dyDescent="0.25">
      <c r="A1398" t="s">
        <v>67</v>
      </c>
      <c r="B1398" s="16" t="s">
        <v>23</v>
      </c>
      <c r="C1398" t="s">
        <v>12</v>
      </c>
      <c r="D1398" t="str">
        <f t="shared" si="30"/>
        <v>MERCURY-Sagittarius-Gemini</v>
      </c>
      <c r="E1398" s="17" t="s">
        <v>107</v>
      </c>
      <c r="F1398" s="18" t="s">
        <v>10</v>
      </c>
      <c r="G1398" s="19" t="s">
        <v>23</v>
      </c>
      <c r="H1398" s="20" t="s">
        <v>98</v>
      </c>
      <c r="I1398" s="18" t="s">
        <v>7</v>
      </c>
      <c r="J1398" t="s">
        <v>12</v>
      </c>
      <c r="K1398" s="17" t="s">
        <v>99</v>
      </c>
      <c r="L1398" s="18" t="s">
        <v>14</v>
      </c>
      <c r="M1398" t="s">
        <v>18</v>
      </c>
    </row>
    <row r="1399" spans="1:13" x14ac:dyDescent="0.25">
      <c r="A1399" t="s">
        <v>67</v>
      </c>
      <c r="B1399" s="16" t="s">
        <v>23</v>
      </c>
      <c r="C1399" t="s">
        <v>14</v>
      </c>
      <c r="D1399" t="str">
        <f t="shared" si="30"/>
        <v>MERCURY-Sagittarius-Cancer</v>
      </c>
      <c r="E1399" s="17" t="s">
        <v>108</v>
      </c>
      <c r="F1399" s="18" t="s">
        <v>18</v>
      </c>
      <c r="G1399" s="19" t="s">
        <v>23</v>
      </c>
      <c r="H1399" s="20" t="s">
        <v>100</v>
      </c>
      <c r="I1399" s="18" t="s">
        <v>29</v>
      </c>
      <c r="J1399" t="s">
        <v>12</v>
      </c>
      <c r="K1399" s="17" t="s">
        <v>101</v>
      </c>
      <c r="L1399" s="18" t="s">
        <v>12</v>
      </c>
      <c r="M1399" t="s">
        <v>18</v>
      </c>
    </row>
    <row r="1400" spans="1:13" x14ac:dyDescent="0.25">
      <c r="A1400" t="s">
        <v>67</v>
      </c>
      <c r="B1400" s="16" t="s">
        <v>23</v>
      </c>
      <c r="C1400" t="s">
        <v>16</v>
      </c>
      <c r="D1400" t="str">
        <f t="shared" si="30"/>
        <v>MERCURY-Sagittarius-Leo</v>
      </c>
      <c r="E1400" s="17" t="s">
        <v>109</v>
      </c>
      <c r="F1400" s="18" t="s">
        <v>16</v>
      </c>
      <c r="G1400" s="19" t="s">
        <v>23</v>
      </c>
      <c r="H1400" s="20" t="s">
        <v>102</v>
      </c>
      <c r="I1400" s="18" t="s">
        <v>27</v>
      </c>
      <c r="J1400" t="s">
        <v>12</v>
      </c>
      <c r="K1400" s="17" t="s">
        <v>103</v>
      </c>
      <c r="L1400" s="18" t="s">
        <v>9</v>
      </c>
      <c r="M1400" t="s">
        <v>18</v>
      </c>
    </row>
    <row r="1401" spans="1:13" x14ac:dyDescent="0.25">
      <c r="A1401" t="s">
        <v>67</v>
      </c>
      <c r="B1401" s="16" t="s">
        <v>23</v>
      </c>
      <c r="C1401" t="s">
        <v>18</v>
      </c>
      <c r="D1401" t="str">
        <f t="shared" si="30"/>
        <v>MERCURY-Sagittarius-Virgo</v>
      </c>
      <c r="E1401" s="17" t="s">
        <v>99</v>
      </c>
      <c r="F1401" s="18" t="s">
        <v>14</v>
      </c>
      <c r="G1401" s="19" t="s">
        <v>23</v>
      </c>
      <c r="H1401" s="20" t="s">
        <v>104</v>
      </c>
      <c r="I1401" s="18" t="s">
        <v>25</v>
      </c>
      <c r="J1401" t="s">
        <v>12</v>
      </c>
      <c r="K1401" s="17" t="s">
        <v>98</v>
      </c>
      <c r="L1401" s="18" t="s">
        <v>7</v>
      </c>
      <c r="M1401" t="s">
        <v>18</v>
      </c>
    </row>
    <row r="1402" spans="1:13" x14ac:dyDescent="0.25">
      <c r="A1402" t="s">
        <v>67</v>
      </c>
      <c r="B1402" s="16" t="s">
        <v>23</v>
      </c>
      <c r="C1402" t="s">
        <v>10</v>
      </c>
      <c r="D1402" t="str">
        <f t="shared" si="30"/>
        <v>MERCURY-Sagittarius-Libra</v>
      </c>
      <c r="E1402" s="17" t="s">
        <v>101</v>
      </c>
      <c r="F1402" s="18" t="s">
        <v>12</v>
      </c>
      <c r="G1402" s="19" t="s">
        <v>23</v>
      </c>
      <c r="H1402" s="20" t="s">
        <v>105</v>
      </c>
      <c r="I1402" s="18" t="s">
        <v>23</v>
      </c>
      <c r="J1402" t="s">
        <v>12</v>
      </c>
      <c r="K1402" s="17" t="s">
        <v>100</v>
      </c>
      <c r="L1402" s="18" t="s">
        <v>29</v>
      </c>
      <c r="M1402" t="s">
        <v>18</v>
      </c>
    </row>
    <row r="1403" spans="1:13" x14ac:dyDescent="0.25">
      <c r="A1403" t="s">
        <v>67</v>
      </c>
      <c r="B1403" s="16" t="s">
        <v>23</v>
      </c>
      <c r="C1403" t="s">
        <v>21</v>
      </c>
      <c r="D1403" t="str">
        <f t="shared" si="30"/>
        <v>MERCURY-Sagittarius-Scorpio</v>
      </c>
      <c r="E1403" s="17" t="s">
        <v>103</v>
      </c>
      <c r="F1403" s="18" t="s">
        <v>9</v>
      </c>
      <c r="G1403" s="19" t="s">
        <v>23</v>
      </c>
      <c r="H1403" s="20" t="s">
        <v>106</v>
      </c>
      <c r="I1403" s="18" t="s">
        <v>21</v>
      </c>
      <c r="J1403" t="s">
        <v>12</v>
      </c>
      <c r="K1403" s="17" t="s">
        <v>102</v>
      </c>
      <c r="L1403" s="18" t="s">
        <v>27</v>
      </c>
      <c r="M1403" t="s">
        <v>18</v>
      </c>
    </row>
    <row r="1404" spans="1:13" x14ac:dyDescent="0.25">
      <c r="A1404" t="s">
        <v>67</v>
      </c>
      <c r="B1404" s="16" t="s">
        <v>23</v>
      </c>
      <c r="C1404" t="s">
        <v>23</v>
      </c>
      <c r="D1404" t="str">
        <f t="shared" si="30"/>
        <v>MERCURY-Sagittarius-Sagittarius</v>
      </c>
      <c r="E1404" s="17" t="s">
        <v>98</v>
      </c>
      <c r="F1404" s="18" t="s">
        <v>7</v>
      </c>
      <c r="G1404" s="19" t="s">
        <v>23</v>
      </c>
      <c r="H1404" s="20" t="s">
        <v>107</v>
      </c>
      <c r="I1404" s="18" t="s">
        <v>10</v>
      </c>
      <c r="J1404" t="s">
        <v>12</v>
      </c>
      <c r="K1404" s="17" t="s">
        <v>104</v>
      </c>
      <c r="L1404" s="18" t="s">
        <v>25</v>
      </c>
      <c r="M1404" t="s">
        <v>18</v>
      </c>
    </row>
    <row r="1405" spans="1:13" x14ac:dyDescent="0.25">
      <c r="A1405" t="s">
        <v>67</v>
      </c>
      <c r="B1405" s="16" t="s">
        <v>23</v>
      </c>
      <c r="C1405" t="s">
        <v>25</v>
      </c>
      <c r="D1405" t="str">
        <f t="shared" si="30"/>
        <v>MERCURY-Sagittarius-Capricorn</v>
      </c>
      <c r="E1405" s="17" t="s">
        <v>100</v>
      </c>
      <c r="F1405" s="18" t="s">
        <v>29</v>
      </c>
      <c r="G1405" s="19" t="s">
        <v>23</v>
      </c>
      <c r="H1405" s="20" t="s">
        <v>108</v>
      </c>
      <c r="I1405" s="18" t="s">
        <v>18</v>
      </c>
      <c r="J1405" t="s">
        <v>12</v>
      </c>
      <c r="K1405" s="17" t="s">
        <v>105</v>
      </c>
      <c r="L1405" s="18" t="s">
        <v>23</v>
      </c>
      <c r="M1405" t="s">
        <v>18</v>
      </c>
    </row>
    <row r="1406" spans="1:13" x14ac:dyDescent="0.25">
      <c r="A1406" t="s">
        <v>67</v>
      </c>
      <c r="B1406" s="16" t="s">
        <v>23</v>
      </c>
      <c r="C1406" t="s">
        <v>27</v>
      </c>
      <c r="D1406" t="str">
        <f t="shared" si="30"/>
        <v>MERCURY-Sagittarius-Aquarius</v>
      </c>
      <c r="E1406" s="17" t="s">
        <v>102</v>
      </c>
      <c r="F1406" s="18" t="s">
        <v>27</v>
      </c>
      <c r="G1406" s="19" t="s">
        <v>23</v>
      </c>
      <c r="H1406" s="20" t="s">
        <v>109</v>
      </c>
      <c r="I1406" s="18" t="s">
        <v>16</v>
      </c>
      <c r="J1406" t="s">
        <v>12</v>
      </c>
      <c r="K1406" s="17" t="s">
        <v>106</v>
      </c>
      <c r="L1406" s="18" t="s">
        <v>21</v>
      </c>
      <c r="M1406" t="s">
        <v>18</v>
      </c>
    </row>
    <row r="1407" spans="1:13" x14ac:dyDescent="0.25">
      <c r="A1407" t="s">
        <v>67</v>
      </c>
      <c r="B1407" s="16" t="s">
        <v>23</v>
      </c>
      <c r="C1407" t="s">
        <v>29</v>
      </c>
      <c r="D1407" t="str">
        <f t="shared" si="30"/>
        <v>MERCURY-Sagittarius-Pisces</v>
      </c>
      <c r="E1407" s="17" t="s">
        <v>104</v>
      </c>
      <c r="F1407" s="18" t="s">
        <v>25</v>
      </c>
      <c r="G1407" s="19" t="s">
        <v>23</v>
      </c>
      <c r="H1407" s="20" t="s">
        <v>99</v>
      </c>
      <c r="I1407" s="18" t="s">
        <v>14</v>
      </c>
      <c r="J1407" t="s">
        <v>12</v>
      </c>
      <c r="K1407" s="17" t="s">
        <v>107</v>
      </c>
      <c r="L1407" s="18" t="s">
        <v>10</v>
      </c>
      <c r="M1407" t="s">
        <v>18</v>
      </c>
    </row>
    <row r="1408" spans="1:13" x14ac:dyDescent="0.25">
      <c r="A1408" t="s">
        <v>67</v>
      </c>
      <c r="B1408" s="16" t="s">
        <v>25</v>
      </c>
      <c r="C1408" t="s">
        <v>7</v>
      </c>
      <c r="D1408" t="str">
        <f t="shared" si="30"/>
        <v>MERCURY-Capricorn-Aries</v>
      </c>
      <c r="E1408" s="17" t="s">
        <v>104</v>
      </c>
      <c r="F1408" s="18" t="s">
        <v>25</v>
      </c>
      <c r="G1408" s="19" t="s">
        <v>25</v>
      </c>
      <c r="H1408" s="20" t="s">
        <v>101</v>
      </c>
      <c r="I1408" s="18" t="s">
        <v>12</v>
      </c>
      <c r="J1408" t="s">
        <v>12</v>
      </c>
      <c r="K1408" s="17" t="s">
        <v>108</v>
      </c>
      <c r="L1408" s="18" t="s">
        <v>18</v>
      </c>
      <c r="M1408" t="s">
        <v>18</v>
      </c>
    </row>
    <row r="1409" spans="1:13" x14ac:dyDescent="0.25">
      <c r="A1409" t="s">
        <v>67</v>
      </c>
      <c r="B1409" s="16" t="s">
        <v>25</v>
      </c>
      <c r="C1409" t="s">
        <v>9</v>
      </c>
      <c r="D1409" t="str">
        <f t="shared" si="30"/>
        <v>MERCURY-Capricorn-Taurus</v>
      </c>
      <c r="E1409" s="17" t="s">
        <v>105</v>
      </c>
      <c r="F1409" s="18" t="s">
        <v>23</v>
      </c>
      <c r="G1409" s="19" t="s">
        <v>25</v>
      </c>
      <c r="H1409" s="20" t="s">
        <v>103</v>
      </c>
      <c r="I1409" s="18" t="s">
        <v>9</v>
      </c>
      <c r="J1409" t="s">
        <v>12</v>
      </c>
      <c r="K1409" s="17" t="s">
        <v>109</v>
      </c>
      <c r="L1409" s="18" t="s">
        <v>16</v>
      </c>
      <c r="M1409" t="s">
        <v>18</v>
      </c>
    </row>
    <row r="1410" spans="1:13" x14ac:dyDescent="0.25">
      <c r="A1410" t="s">
        <v>67</v>
      </c>
      <c r="B1410" s="16" t="s">
        <v>25</v>
      </c>
      <c r="C1410" t="s">
        <v>12</v>
      </c>
      <c r="D1410" t="str">
        <f t="shared" si="30"/>
        <v>MERCURY-Capricorn-Gemini</v>
      </c>
      <c r="E1410" s="17" t="s">
        <v>106</v>
      </c>
      <c r="F1410" s="18" t="s">
        <v>21</v>
      </c>
      <c r="G1410" s="19" t="s">
        <v>25</v>
      </c>
      <c r="H1410" s="20" t="s">
        <v>98</v>
      </c>
      <c r="I1410" s="18" t="s">
        <v>7</v>
      </c>
      <c r="J1410" t="s">
        <v>12</v>
      </c>
      <c r="K1410" s="17" t="s">
        <v>99</v>
      </c>
      <c r="L1410" s="18" t="s">
        <v>14</v>
      </c>
      <c r="M1410" t="s">
        <v>18</v>
      </c>
    </row>
    <row r="1411" spans="1:13" x14ac:dyDescent="0.25">
      <c r="A1411" t="s">
        <v>67</v>
      </c>
      <c r="B1411" s="16" t="s">
        <v>25</v>
      </c>
      <c r="C1411" t="s">
        <v>14</v>
      </c>
      <c r="D1411" t="str">
        <f t="shared" si="30"/>
        <v>MERCURY-Capricorn-Cancer</v>
      </c>
      <c r="E1411" s="17" t="s">
        <v>107</v>
      </c>
      <c r="F1411" s="18" t="s">
        <v>10</v>
      </c>
      <c r="G1411" s="19" t="s">
        <v>25</v>
      </c>
      <c r="H1411" s="20" t="s">
        <v>100</v>
      </c>
      <c r="I1411" s="18" t="s">
        <v>29</v>
      </c>
      <c r="J1411" t="s">
        <v>12</v>
      </c>
      <c r="K1411" s="17" t="s">
        <v>101</v>
      </c>
      <c r="L1411" s="18" t="s">
        <v>12</v>
      </c>
      <c r="M1411" t="s">
        <v>18</v>
      </c>
    </row>
    <row r="1412" spans="1:13" x14ac:dyDescent="0.25">
      <c r="A1412" t="s">
        <v>67</v>
      </c>
      <c r="B1412" s="16" t="s">
        <v>25</v>
      </c>
      <c r="C1412" t="s">
        <v>16</v>
      </c>
      <c r="D1412" t="str">
        <f t="shared" si="30"/>
        <v>MERCURY-Capricorn-Leo</v>
      </c>
      <c r="E1412" s="17" t="s">
        <v>108</v>
      </c>
      <c r="F1412" s="18" t="s">
        <v>18</v>
      </c>
      <c r="G1412" s="19" t="s">
        <v>25</v>
      </c>
      <c r="H1412" s="20" t="s">
        <v>102</v>
      </c>
      <c r="I1412" s="18" t="s">
        <v>27</v>
      </c>
      <c r="J1412" t="s">
        <v>12</v>
      </c>
      <c r="K1412" s="17" t="s">
        <v>103</v>
      </c>
      <c r="L1412" s="18" t="s">
        <v>9</v>
      </c>
      <c r="M1412" t="s">
        <v>18</v>
      </c>
    </row>
    <row r="1413" spans="1:13" x14ac:dyDescent="0.25">
      <c r="A1413" t="s">
        <v>67</v>
      </c>
      <c r="B1413" s="16" t="s">
        <v>25</v>
      </c>
      <c r="C1413" t="s">
        <v>18</v>
      </c>
      <c r="D1413" t="str">
        <f t="shared" si="30"/>
        <v>MERCURY-Capricorn-Virgo</v>
      </c>
      <c r="E1413" s="17" t="s">
        <v>109</v>
      </c>
      <c r="F1413" s="18" t="s">
        <v>16</v>
      </c>
      <c r="G1413" s="19" t="s">
        <v>25</v>
      </c>
      <c r="H1413" s="20" t="s">
        <v>104</v>
      </c>
      <c r="I1413" s="18" t="s">
        <v>25</v>
      </c>
      <c r="J1413" t="s">
        <v>12</v>
      </c>
      <c r="K1413" s="17" t="s">
        <v>98</v>
      </c>
      <c r="L1413" s="18" t="s">
        <v>7</v>
      </c>
      <c r="M1413" t="s">
        <v>18</v>
      </c>
    </row>
    <row r="1414" spans="1:13" x14ac:dyDescent="0.25">
      <c r="A1414" t="s">
        <v>67</v>
      </c>
      <c r="B1414" s="16" t="s">
        <v>25</v>
      </c>
      <c r="C1414" t="s">
        <v>10</v>
      </c>
      <c r="D1414" t="str">
        <f t="shared" si="30"/>
        <v>MERCURY-Capricorn-Libra</v>
      </c>
      <c r="E1414" s="17" t="s">
        <v>99</v>
      </c>
      <c r="F1414" s="18" t="s">
        <v>14</v>
      </c>
      <c r="G1414" s="19" t="s">
        <v>25</v>
      </c>
      <c r="H1414" s="20" t="s">
        <v>105</v>
      </c>
      <c r="I1414" s="18" t="s">
        <v>23</v>
      </c>
      <c r="J1414" t="s">
        <v>12</v>
      </c>
      <c r="K1414" s="17" t="s">
        <v>100</v>
      </c>
      <c r="L1414" s="18" t="s">
        <v>29</v>
      </c>
      <c r="M1414" t="s">
        <v>18</v>
      </c>
    </row>
    <row r="1415" spans="1:13" x14ac:dyDescent="0.25">
      <c r="A1415" t="s">
        <v>67</v>
      </c>
      <c r="B1415" s="16" t="s">
        <v>25</v>
      </c>
      <c r="C1415" t="s">
        <v>21</v>
      </c>
      <c r="D1415" t="str">
        <f t="shared" si="30"/>
        <v>MERCURY-Capricorn-Scorpio</v>
      </c>
      <c r="E1415" s="17" t="s">
        <v>101</v>
      </c>
      <c r="F1415" s="18" t="s">
        <v>12</v>
      </c>
      <c r="G1415" s="19" t="s">
        <v>25</v>
      </c>
      <c r="H1415" s="20" t="s">
        <v>106</v>
      </c>
      <c r="I1415" s="18" t="s">
        <v>21</v>
      </c>
      <c r="J1415" t="s">
        <v>12</v>
      </c>
      <c r="K1415" s="17" t="s">
        <v>102</v>
      </c>
      <c r="L1415" s="18" t="s">
        <v>27</v>
      </c>
      <c r="M1415" t="s">
        <v>18</v>
      </c>
    </row>
    <row r="1416" spans="1:13" x14ac:dyDescent="0.25">
      <c r="A1416" t="s">
        <v>67</v>
      </c>
      <c r="B1416" s="16" t="s">
        <v>25</v>
      </c>
      <c r="C1416" t="s">
        <v>23</v>
      </c>
      <c r="D1416" t="str">
        <f t="shared" si="30"/>
        <v>MERCURY-Capricorn-Sagittarius</v>
      </c>
      <c r="E1416" s="17" t="s">
        <v>103</v>
      </c>
      <c r="F1416" s="18" t="s">
        <v>9</v>
      </c>
      <c r="G1416" s="19" t="s">
        <v>25</v>
      </c>
      <c r="H1416" s="20" t="s">
        <v>107</v>
      </c>
      <c r="I1416" s="18" t="s">
        <v>10</v>
      </c>
      <c r="J1416" t="s">
        <v>12</v>
      </c>
      <c r="K1416" s="17" t="s">
        <v>104</v>
      </c>
      <c r="L1416" s="18" t="s">
        <v>25</v>
      </c>
      <c r="M1416" t="s">
        <v>18</v>
      </c>
    </row>
    <row r="1417" spans="1:13" x14ac:dyDescent="0.25">
      <c r="A1417" t="s">
        <v>67</v>
      </c>
      <c r="B1417" s="16" t="s">
        <v>25</v>
      </c>
      <c r="C1417" t="s">
        <v>25</v>
      </c>
      <c r="D1417" t="str">
        <f t="shared" si="30"/>
        <v>MERCURY-Capricorn-Capricorn</v>
      </c>
      <c r="E1417" s="17" t="s">
        <v>98</v>
      </c>
      <c r="F1417" s="18" t="s">
        <v>7</v>
      </c>
      <c r="G1417" s="19" t="s">
        <v>25</v>
      </c>
      <c r="H1417" s="20" t="s">
        <v>108</v>
      </c>
      <c r="I1417" s="18" t="s">
        <v>18</v>
      </c>
      <c r="J1417" t="s">
        <v>12</v>
      </c>
      <c r="K1417" s="17" t="s">
        <v>105</v>
      </c>
      <c r="L1417" s="18" t="s">
        <v>23</v>
      </c>
      <c r="M1417" t="s">
        <v>18</v>
      </c>
    </row>
    <row r="1418" spans="1:13" x14ac:dyDescent="0.25">
      <c r="A1418" t="s">
        <v>67</v>
      </c>
      <c r="B1418" s="16" t="s">
        <v>25</v>
      </c>
      <c r="C1418" t="s">
        <v>27</v>
      </c>
      <c r="D1418" t="str">
        <f t="shared" si="30"/>
        <v>MERCURY-Capricorn-Aquarius</v>
      </c>
      <c r="E1418" s="17" t="s">
        <v>100</v>
      </c>
      <c r="F1418" s="18" t="s">
        <v>29</v>
      </c>
      <c r="G1418" s="19" t="s">
        <v>25</v>
      </c>
      <c r="H1418" s="20" t="s">
        <v>109</v>
      </c>
      <c r="I1418" s="18" t="s">
        <v>16</v>
      </c>
      <c r="J1418" t="s">
        <v>12</v>
      </c>
      <c r="K1418" s="17" t="s">
        <v>106</v>
      </c>
      <c r="L1418" s="18" t="s">
        <v>21</v>
      </c>
      <c r="M1418" t="s">
        <v>18</v>
      </c>
    </row>
    <row r="1419" spans="1:13" x14ac:dyDescent="0.25">
      <c r="A1419" t="s">
        <v>67</v>
      </c>
      <c r="B1419" s="16" t="s">
        <v>25</v>
      </c>
      <c r="C1419" t="s">
        <v>29</v>
      </c>
      <c r="D1419" t="str">
        <f t="shared" si="30"/>
        <v>MERCURY-Capricorn-Pisces</v>
      </c>
      <c r="E1419" s="17" t="s">
        <v>102</v>
      </c>
      <c r="F1419" s="18" t="s">
        <v>27</v>
      </c>
      <c r="G1419" s="19" t="s">
        <v>25</v>
      </c>
      <c r="H1419" s="20" t="s">
        <v>99</v>
      </c>
      <c r="I1419" s="18" t="s">
        <v>14</v>
      </c>
      <c r="J1419" t="s">
        <v>12</v>
      </c>
      <c r="K1419" s="17" t="s">
        <v>107</v>
      </c>
      <c r="L1419" s="18" t="s">
        <v>10</v>
      </c>
      <c r="M1419" t="s">
        <v>18</v>
      </c>
    </row>
    <row r="1420" spans="1:13" x14ac:dyDescent="0.25">
      <c r="A1420" t="s">
        <v>67</v>
      </c>
      <c r="B1420" s="16" t="s">
        <v>27</v>
      </c>
      <c r="C1420" t="s">
        <v>7</v>
      </c>
      <c r="D1420" t="str">
        <f t="shared" si="30"/>
        <v>MERCURY-Aquarius-Aries</v>
      </c>
      <c r="E1420" s="17" t="s">
        <v>102</v>
      </c>
      <c r="F1420" s="18" t="s">
        <v>27</v>
      </c>
      <c r="G1420" s="19" t="s">
        <v>27</v>
      </c>
      <c r="H1420" s="20" t="s">
        <v>101</v>
      </c>
      <c r="I1420" s="18" t="s">
        <v>12</v>
      </c>
      <c r="J1420" t="s">
        <v>12</v>
      </c>
      <c r="K1420" s="17" t="s">
        <v>108</v>
      </c>
      <c r="L1420" s="18" t="s">
        <v>18</v>
      </c>
      <c r="M1420" t="s">
        <v>18</v>
      </c>
    </row>
    <row r="1421" spans="1:13" x14ac:dyDescent="0.25">
      <c r="A1421" t="s">
        <v>67</v>
      </c>
      <c r="B1421" s="16" t="s">
        <v>27</v>
      </c>
      <c r="C1421" t="s">
        <v>9</v>
      </c>
      <c r="D1421" t="str">
        <f t="shared" si="30"/>
        <v>MERCURY-Aquarius-Taurus</v>
      </c>
      <c r="E1421" s="17" t="s">
        <v>104</v>
      </c>
      <c r="F1421" s="18" t="s">
        <v>25</v>
      </c>
      <c r="G1421" s="19" t="s">
        <v>27</v>
      </c>
      <c r="H1421" s="20" t="s">
        <v>103</v>
      </c>
      <c r="I1421" s="18" t="s">
        <v>9</v>
      </c>
      <c r="J1421" t="s">
        <v>12</v>
      </c>
      <c r="K1421" s="17" t="s">
        <v>109</v>
      </c>
      <c r="L1421" s="18" t="s">
        <v>16</v>
      </c>
      <c r="M1421" t="s">
        <v>18</v>
      </c>
    </row>
    <row r="1422" spans="1:13" x14ac:dyDescent="0.25">
      <c r="A1422" t="s">
        <v>67</v>
      </c>
      <c r="B1422" s="16" t="s">
        <v>27</v>
      </c>
      <c r="C1422" t="s">
        <v>12</v>
      </c>
      <c r="D1422" t="str">
        <f t="shared" si="30"/>
        <v>MERCURY-Aquarius-Gemini</v>
      </c>
      <c r="E1422" s="17" t="s">
        <v>105</v>
      </c>
      <c r="F1422" s="18" t="s">
        <v>23</v>
      </c>
      <c r="G1422" s="19" t="s">
        <v>27</v>
      </c>
      <c r="H1422" s="20" t="s">
        <v>98</v>
      </c>
      <c r="I1422" s="18" t="s">
        <v>7</v>
      </c>
      <c r="J1422" t="s">
        <v>12</v>
      </c>
      <c r="K1422" s="17" t="s">
        <v>99</v>
      </c>
      <c r="L1422" s="18" t="s">
        <v>14</v>
      </c>
      <c r="M1422" t="s">
        <v>18</v>
      </c>
    </row>
    <row r="1423" spans="1:13" x14ac:dyDescent="0.25">
      <c r="A1423" t="s">
        <v>67</v>
      </c>
      <c r="B1423" s="16" t="s">
        <v>27</v>
      </c>
      <c r="C1423" t="s">
        <v>14</v>
      </c>
      <c r="D1423" t="str">
        <f t="shared" si="30"/>
        <v>MERCURY-Aquarius-Cancer</v>
      </c>
      <c r="E1423" s="17" t="s">
        <v>106</v>
      </c>
      <c r="F1423" s="18" t="s">
        <v>21</v>
      </c>
      <c r="G1423" s="19" t="s">
        <v>27</v>
      </c>
      <c r="H1423" s="20" t="s">
        <v>100</v>
      </c>
      <c r="I1423" s="18" t="s">
        <v>29</v>
      </c>
      <c r="J1423" t="s">
        <v>12</v>
      </c>
      <c r="K1423" s="17" t="s">
        <v>101</v>
      </c>
      <c r="L1423" s="18" t="s">
        <v>12</v>
      </c>
      <c r="M1423" t="s">
        <v>18</v>
      </c>
    </row>
    <row r="1424" spans="1:13" x14ac:dyDescent="0.25">
      <c r="A1424" t="s">
        <v>67</v>
      </c>
      <c r="B1424" s="16" t="s">
        <v>27</v>
      </c>
      <c r="C1424" t="s">
        <v>16</v>
      </c>
      <c r="D1424" t="str">
        <f t="shared" si="30"/>
        <v>MERCURY-Aquarius-Leo</v>
      </c>
      <c r="E1424" s="17" t="s">
        <v>107</v>
      </c>
      <c r="F1424" s="18" t="s">
        <v>10</v>
      </c>
      <c r="G1424" s="19" t="s">
        <v>27</v>
      </c>
      <c r="H1424" s="20" t="s">
        <v>102</v>
      </c>
      <c r="I1424" s="18" t="s">
        <v>27</v>
      </c>
      <c r="J1424" t="s">
        <v>12</v>
      </c>
      <c r="K1424" s="17" t="s">
        <v>103</v>
      </c>
      <c r="L1424" s="18" t="s">
        <v>9</v>
      </c>
      <c r="M1424" t="s">
        <v>18</v>
      </c>
    </row>
    <row r="1425" spans="1:13" x14ac:dyDescent="0.25">
      <c r="A1425" t="s">
        <v>67</v>
      </c>
      <c r="B1425" s="16" t="s">
        <v>27</v>
      </c>
      <c r="C1425" t="s">
        <v>18</v>
      </c>
      <c r="D1425" t="str">
        <f t="shared" si="30"/>
        <v>MERCURY-Aquarius-Virgo</v>
      </c>
      <c r="E1425" s="17" t="s">
        <v>108</v>
      </c>
      <c r="F1425" s="18" t="s">
        <v>18</v>
      </c>
      <c r="G1425" s="19" t="s">
        <v>27</v>
      </c>
      <c r="H1425" s="20" t="s">
        <v>104</v>
      </c>
      <c r="I1425" s="18" t="s">
        <v>25</v>
      </c>
      <c r="J1425" t="s">
        <v>12</v>
      </c>
      <c r="K1425" s="17" t="s">
        <v>98</v>
      </c>
      <c r="L1425" s="18" t="s">
        <v>7</v>
      </c>
      <c r="M1425" t="s">
        <v>18</v>
      </c>
    </row>
    <row r="1426" spans="1:13" x14ac:dyDescent="0.25">
      <c r="A1426" t="s">
        <v>67</v>
      </c>
      <c r="B1426" s="16" t="s">
        <v>27</v>
      </c>
      <c r="C1426" t="s">
        <v>10</v>
      </c>
      <c r="D1426" t="str">
        <f t="shared" si="30"/>
        <v>MERCURY-Aquarius-Libra</v>
      </c>
      <c r="E1426" s="17" t="s">
        <v>109</v>
      </c>
      <c r="F1426" s="18" t="s">
        <v>16</v>
      </c>
      <c r="G1426" s="19" t="s">
        <v>27</v>
      </c>
      <c r="H1426" s="20" t="s">
        <v>105</v>
      </c>
      <c r="I1426" s="18" t="s">
        <v>23</v>
      </c>
      <c r="J1426" t="s">
        <v>12</v>
      </c>
      <c r="K1426" s="17" t="s">
        <v>100</v>
      </c>
      <c r="L1426" s="18" t="s">
        <v>29</v>
      </c>
      <c r="M1426" t="s">
        <v>18</v>
      </c>
    </row>
    <row r="1427" spans="1:13" x14ac:dyDescent="0.25">
      <c r="A1427" t="s">
        <v>67</v>
      </c>
      <c r="B1427" s="16" t="s">
        <v>27</v>
      </c>
      <c r="C1427" t="s">
        <v>21</v>
      </c>
      <c r="D1427" t="str">
        <f t="shared" si="30"/>
        <v>MERCURY-Aquarius-Scorpio</v>
      </c>
      <c r="E1427" s="17" t="s">
        <v>99</v>
      </c>
      <c r="F1427" s="18" t="s">
        <v>14</v>
      </c>
      <c r="G1427" s="19" t="s">
        <v>27</v>
      </c>
      <c r="H1427" s="20" t="s">
        <v>106</v>
      </c>
      <c r="I1427" s="18" t="s">
        <v>21</v>
      </c>
      <c r="J1427" t="s">
        <v>12</v>
      </c>
      <c r="K1427" s="17" t="s">
        <v>102</v>
      </c>
      <c r="L1427" s="18" t="s">
        <v>27</v>
      </c>
      <c r="M1427" t="s">
        <v>18</v>
      </c>
    </row>
    <row r="1428" spans="1:13" x14ac:dyDescent="0.25">
      <c r="A1428" t="s">
        <v>67</v>
      </c>
      <c r="B1428" s="16" t="s">
        <v>27</v>
      </c>
      <c r="C1428" t="s">
        <v>23</v>
      </c>
      <c r="D1428" t="str">
        <f t="shared" si="30"/>
        <v>MERCURY-Aquarius-Sagittarius</v>
      </c>
      <c r="E1428" s="17" t="s">
        <v>101</v>
      </c>
      <c r="F1428" s="18" t="s">
        <v>12</v>
      </c>
      <c r="G1428" s="19" t="s">
        <v>27</v>
      </c>
      <c r="H1428" s="20" t="s">
        <v>107</v>
      </c>
      <c r="I1428" s="18" t="s">
        <v>10</v>
      </c>
      <c r="J1428" t="s">
        <v>12</v>
      </c>
      <c r="K1428" s="17" t="s">
        <v>104</v>
      </c>
      <c r="L1428" s="18" t="s">
        <v>25</v>
      </c>
      <c r="M1428" t="s">
        <v>18</v>
      </c>
    </row>
    <row r="1429" spans="1:13" x14ac:dyDescent="0.25">
      <c r="A1429" t="s">
        <v>67</v>
      </c>
      <c r="B1429" s="16" t="s">
        <v>27</v>
      </c>
      <c r="C1429" t="s">
        <v>25</v>
      </c>
      <c r="D1429" t="str">
        <f t="shared" ref="D1429:D1443" si="31">A1429&amp;"-"&amp;B1429&amp;"-"&amp;C1429</f>
        <v>MERCURY-Aquarius-Capricorn</v>
      </c>
      <c r="E1429" s="17" t="s">
        <v>103</v>
      </c>
      <c r="F1429" s="18" t="s">
        <v>9</v>
      </c>
      <c r="G1429" s="19" t="s">
        <v>27</v>
      </c>
      <c r="H1429" s="20" t="s">
        <v>108</v>
      </c>
      <c r="I1429" s="18" t="s">
        <v>18</v>
      </c>
      <c r="J1429" t="s">
        <v>12</v>
      </c>
      <c r="K1429" s="17" t="s">
        <v>105</v>
      </c>
      <c r="L1429" s="18" t="s">
        <v>23</v>
      </c>
      <c r="M1429" t="s">
        <v>18</v>
      </c>
    </row>
    <row r="1430" spans="1:13" x14ac:dyDescent="0.25">
      <c r="A1430" t="s">
        <v>67</v>
      </c>
      <c r="B1430" s="16" t="s">
        <v>27</v>
      </c>
      <c r="C1430" t="s">
        <v>27</v>
      </c>
      <c r="D1430" t="str">
        <f t="shared" si="31"/>
        <v>MERCURY-Aquarius-Aquarius</v>
      </c>
      <c r="E1430" s="17" t="s">
        <v>98</v>
      </c>
      <c r="F1430" s="18" t="s">
        <v>7</v>
      </c>
      <c r="G1430" s="19" t="s">
        <v>27</v>
      </c>
      <c r="H1430" s="20" t="s">
        <v>109</v>
      </c>
      <c r="I1430" s="18" t="s">
        <v>16</v>
      </c>
      <c r="J1430" t="s">
        <v>12</v>
      </c>
      <c r="K1430" s="17" t="s">
        <v>106</v>
      </c>
      <c r="L1430" s="18" t="s">
        <v>21</v>
      </c>
      <c r="M1430" t="s">
        <v>18</v>
      </c>
    </row>
    <row r="1431" spans="1:13" x14ac:dyDescent="0.25">
      <c r="A1431" t="s">
        <v>67</v>
      </c>
      <c r="B1431" s="16" t="s">
        <v>27</v>
      </c>
      <c r="C1431" t="s">
        <v>29</v>
      </c>
      <c r="D1431" t="str">
        <f t="shared" si="31"/>
        <v>MERCURY-Aquarius-Pisces</v>
      </c>
      <c r="E1431" s="17" t="s">
        <v>100</v>
      </c>
      <c r="F1431" s="18" t="s">
        <v>29</v>
      </c>
      <c r="G1431" s="19" t="s">
        <v>27</v>
      </c>
      <c r="H1431" s="20" t="s">
        <v>99</v>
      </c>
      <c r="I1431" s="18" t="s">
        <v>14</v>
      </c>
      <c r="J1431" t="s">
        <v>12</v>
      </c>
      <c r="K1431" s="17" t="s">
        <v>107</v>
      </c>
      <c r="L1431" s="18" t="s">
        <v>10</v>
      </c>
      <c r="M1431" t="s">
        <v>18</v>
      </c>
    </row>
    <row r="1432" spans="1:13" x14ac:dyDescent="0.25">
      <c r="A1432" t="s">
        <v>67</v>
      </c>
      <c r="B1432" s="16" t="s">
        <v>29</v>
      </c>
      <c r="C1432" t="s">
        <v>7</v>
      </c>
      <c r="D1432" t="str">
        <f t="shared" si="31"/>
        <v>MERCURY-Pisces-Aries</v>
      </c>
      <c r="E1432" s="17" t="s">
        <v>100</v>
      </c>
      <c r="F1432" s="18" t="s">
        <v>29</v>
      </c>
      <c r="G1432" s="19" t="s">
        <v>29</v>
      </c>
      <c r="H1432" s="20" t="s">
        <v>101</v>
      </c>
      <c r="I1432" s="18" t="s">
        <v>12</v>
      </c>
      <c r="J1432" t="s">
        <v>12</v>
      </c>
      <c r="K1432" s="17" t="s">
        <v>108</v>
      </c>
      <c r="L1432" s="18" t="s">
        <v>18</v>
      </c>
      <c r="M1432" t="s">
        <v>18</v>
      </c>
    </row>
    <row r="1433" spans="1:13" x14ac:dyDescent="0.25">
      <c r="A1433" t="s">
        <v>67</v>
      </c>
      <c r="B1433" s="16" t="s">
        <v>29</v>
      </c>
      <c r="C1433" t="s">
        <v>9</v>
      </c>
      <c r="D1433" t="str">
        <f t="shared" si="31"/>
        <v>MERCURY-Pisces-Taurus</v>
      </c>
      <c r="E1433" s="17" t="s">
        <v>102</v>
      </c>
      <c r="F1433" s="18" t="s">
        <v>27</v>
      </c>
      <c r="G1433" s="19" t="s">
        <v>29</v>
      </c>
      <c r="H1433" s="20" t="s">
        <v>103</v>
      </c>
      <c r="I1433" s="18" t="s">
        <v>9</v>
      </c>
      <c r="J1433" t="s">
        <v>12</v>
      </c>
      <c r="K1433" s="17" t="s">
        <v>109</v>
      </c>
      <c r="L1433" s="18" t="s">
        <v>16</v>
      </c>
      <c r="M1433" t="s">
        <v>18</v>
      </c>
    </row>
    <row r="1434" spans="1:13" x14ac:dyDescent="0.25">
      <c r="A1434" t="s">
        <v>67</v>
      </c>
      <c r="B1434" s="16" t="s">
        <v>29</v>
      </c>
      <c r="C1434" t="s">
        <v>12</v>
      </c>
      <c r="D1434" t="str">
        <f t="shared" si="31"/>
        <v>MERCURY-Pisces-Gemini</v>
      </c>
      <c r="E1434" s="17" t="s">
        <v>104</v>
      </c>
      <c r="F1434" s="18" t="s">
        <v>25</v>
      </c>
      <c r="G1434" s="19" t="s">
        <v>29</v>
      </c>
      <c r="H1434" s="20" t="s">
        <v>98</v>
      </c>
      <c r="I1434" s="18" t="s">
        <v>7</v>
      </c>
      <c r="J1434" t="s">
        <v>12</v>
      </c>
      <c r="K1434" s="17" t="s">
        <v>99</v>
      </c>
      <c r="L1434" s="18" t="s">
        <v>14</v>
      </c>
      <c r="M1434" t="s">
        <v>18</v>
      </c>
    </row>
    <row r="1435" spans="1:13" x14ac:dyDescent="0.25">
      <c r="A1435" t="s">
        <v>67</v>
      </c>
      <c r="B1435" s="16" t="s">
        <v>29</v>
      </c>
      <c r="C1435" t="s">
        <v>14</v>
      </c>
      <c r="D1435" t="str">
        <f t="shared" si="31"/>
        <v>MERCURY-Pisces-Cancer</v>
      </c>
      <c r="E1435" s="17" t="s">
        <v>105</v>
      </c>
      <c r="F1435" s="18" t="s">
        <v>23</v>
      </c>
      <c r="G1435" s="19" t="s">
        <v>29</v>
      </c>
      <c r="H1435" s="20" t="s">
        <v>100</v>
      </c>
      <c r="I1435" s="18" t="s">
        <v>29</v>
      </c>
      <c r="J1435" t="s">
        <v>12</v>
      </c>
      <c r="K1435" s="17" t="s">
        <v>101</v>
      </c>
      <c r="L1435" s="18" t="s">
        <v>12</v>
      </c>
      <c r="M1435" t="s">
        <v>18</v>
      </c>
    </row>
    <row r="1436" spans="1:13" x14ac:dyDescent="0.25">
      <c r="A1436" t="s">
        <v>67</v>
      </c>
      <c r="B1436" s="16" t="s">
        <v>29</v>
      </c>
      <c r="C1436" t="s">
        <v>16</v>
      </c>
      <c r="D1436" t="str">
        <f t="shared" si="31"/>
        <v>MERCURY-Pisces-Leo</v>
      </c>
      <c r="E1436" s="17" t="s">
        <v>106</v>
      </c>
      <c r="F1436" s="18" t="s">
        <v>21</v>
      </c>
      <c r="G1436" s="19" t="s">
        <v>29</v>
      </c>
      <c r="H1436" s="20" t="s">
        <v>102</v>
      </c>
      <c r="I1436" s="18" t="s">
        <v>27</v>
      </c>
      <c r="J1436" t="s">
        <v>12</v>
      </c>
      <c r="K1436" s="17" t="s">
        <v>103</v>
      </c>
      <c r="L1436" s="18" t="s">
        <v>9</v>
      </c>
      <c r="M1436" t="s">
        <v>18</v>
      </c>
    </row>
    <row r="1437" spans="1:13" x14ac:dyDescent="0.25">
      <c r="A1437" t="s">
        <v>67</v>
      </c>
      <c r="B1437" s="16" t="s">
        <v>29</v>
      </c>
      <c r="C1437" t="s">
        <v>18</v>
      </c>
      <c r="D1437" t="str">
        <f t="shared" si="31"/>
        <v>MERCURY-Pisces-Virgo</v>
      </c>
      <c r="E1437" s="17" t="s">
        <v>107</v>
      </c>
      <c r="F1437" s="18" t="s">
        <v>10</v>
      </c>
      <c r="G1437" s="19" t="s">
        <v>29</v>
      </c>
      <c r="H1437" s="20" t="s">
        <v>104</v>
      </c>
      <c r="I1437" s="18" t="s">
        <v>25</v>
      </c>
      <c r="J1437" t="s">
        <v>12</v>
      </c>
      <c r="K1437" s="17" t="s">
        <v>98</v>
      </c>
      <c r="L1437" s="18" t="s">
        <v>7</v>
      </c>
      <c r="M1437" t="s">
        <v>18</v>
      </c>
    </row>
    <row r="1438" spans="1:13" x14ac:dyDescent="0.25">
      <c r="A1438" t="s">
        <v>67</v>
      </c>
      <c r="B1438" s="16" t="s">
        <v>29</v>
      </c>
      <c r="C1438" t="s">
        <v>10</v>
      </c>
      <c r="D1438" t="str">
        <f t="shared" si="31"/>
        <v>MERCURY-Pisces-Libra</v>
      </c>
      <c r="E1438" s="17" t="s">
        <v>108</v>
      </c>
      <c r="F1438" s="18" t="s">
        <v>18</v>
      </c>
      <c r="G1438" s="19" t="s">
        <v>29</v>
      </c>
      <c r="H1438" s="20" t="s">
        <v>105</v>
      </c>
      <c r="I1438" s="18" t="s">
        <v>23</v>
      </c>
      <c r="J1438" t="s">
        <v>12</v>
      </c>
      <c r="K1438" s="17" t="s">
        <v>100</v>
      </c>
      <c r="L1438" s="18" t="s">
        <v>29</v>
      </c>
      <c r="M1438" t="s">
        <v>18</v>
      </c>
    </row>
    <row r="1439" spans="1:13" x14ac:dyDescent="0.25">
      <c r="A1439" t="s">
        <v>67</v>
      </c>
      <c r="B1439" s="16" t="s">
        <v>29</v>
      </c>
      <c r="C1439" t="s">
        <v>21</v>
      </c>
      <c r="D1439" t="str">
        <f t="shared" si="31"/>
        <v>MERCURY-Pisces-Scorpio</v>
      </c>
      <c r="E1439" s="17" t="s">
        <v>109</v>
      </c>
      <c r="F1439" s="18" t="s">
        <v>16</v>
      </c>
      <c r="G1439" s="19" t="s">
        <v>29</v>
      </c>
      <c r="H1439" s="20" t="s">
        <v>106</v>
      </c>
      <c r="I1439" s="18" t="s">
        <v>21</v>
      </c>
      <c r="J1439" t="s">
        <v>12</v>
      </c>
      <c r="K1439" s="17" t="s">
        <v>102</v>
      </c>
      <c r="L1439" s="18" t="s">
        <v>27</v>
      </c>
      <c r="M1439" t="s">
        <v>18</v>
      </c>
    </row>
    <row r="1440" spans="1:13" x14ac:dyDescent="0.25">
      <c r="A1440" t="s">
        <v>67</v>
      </c>
      <c r="B1440" s="16" t="s">
        <v>29</v>
      </c>
      <c r="C1440" t="s">
        <v>23</v>
      </c>
      <c r="D1440" t="str">
        <f t="shared" si="31"/>
        <v>MERCURY-Pisces-Sagittarius</v>
      </c>
      <c r="E1440" s="17" t="s">
        <v>99</v>
      </c>
      <c r="F1440" s="18" t="s">
        <v>14</v>
      </c>
      <c r="G1440" s="19" t="s">
        <v>29</v>
      </c>
      <c r="H1440" s="20" t="s">
        <v>107</v>
      </c>
      <c r="I1440" s="18" t="s">
        <v>10</v>
      </c>
      <c r="J1440" t="s">
        <v>12</v>
      </c>
      <c r="K1440" s="17" t="s">
        <v>104</v>
      </c>
      <c r="L1440" s="18" t="s">
        <v>25</v>
      </c>
      <c r="M1440" t="s">
        <v>18</v>
      </c>
    </row>
    <row r="1441" spans="1:13" x14ac:dyDescent="0.25">
      <c r="A1441" t="s">
        <v>67</v>
      </c>
      <c r="B1441" s="16" t="s">
        <v>29</v>
      </c>
      <c r="C1441" t="s">
        <v>25</v>
      </c>
      <c r="D1441" t="str">
        <f t="shared" si="31"/>
        <v>MERCURY-Pisces-Capricorn</v>
      </c>
      <c r="E1441" s="17" t="s">
        <v>101</v>
      </c>
      <c r="F1441" s="18" t="s">
        <v>12</v>
      </c>
      <c r="G1441" s="19" t="s">
        <v>29</v>
      </c>
      <c r="H1441" s="20" t="s">
        <v>108</v>
      </c>
      <c r="I1441" s="18" t="s">
        <v>18</v>
      </c>
      <c r="J1441" t="s">
        <v>12</v>
      </c>
      <c r="K1441" s="17" t="s">
        <v>105</v>
      </c>
      <c r="L1441" s="18" t="s">
        <v>23</v>
      </c>
      <c r="M1441" t="s">
        <v>18</v>
      </c>
    </row>
    <row r="1442" spans="1:13" x14ac:dyDescent="0.25">
      <c r="A1442" t="s">
        <v>67</v>
      </c>
      <c r="B1442" s="16" t="s">
        <v>29</v>
      </c>
      <c r="C1442" t="s">
        <v>27</v>
      </c>
      <c r="D1442" t="str">
        <f t="shared" si="31"/>
        <v>MERCURY-Pisces-Aquarius</v>
      </c>
      <c r="E1442" s="17" t="s">
        <v>103</v>
      </c>
      <c r="F1442" s="18" t="s">
        <v>9</v>
      </c>
      <c r="G1442" s="19" t="s">
        <v>29</v>
      </c>
      <c r="H1442" s="20" t="s">
        <v>109</v>
      </c>
      <c r="I1442" s="18" t="s">
        <v>16</v>
      </c>
      <c r="J1442" t="s">
        <v>12</v>
      </c>
      <c r="K1442" s="17" t="s">
        <v>106</v>
      </c>
      <c r="L1442" s="18" t="s">
        <v>21</v>
      </c>
      <c r="M1442" t="s">
        <v>18</v>
      </c>
    </row>
    <row r="1443" spans="1:13" x14ac:dyDescent="0.25">
      <c r="A1443" t="s">
        <v>67</v>
      </c>
      <c r="B1443" s="16" t="s">
        <v>29</v>
      </c>
      <c r="C1443" t="s">
        <v>29</v>
      </c>
      <c r="D1443" t="str">
        <f t="shared" si="31"/>
        <v>MERCURY-Pisces-Pisces</v>
      </c>
      <c r="E1443" s="17" t="s">
        <v>98</v>
      </c>
      <c r="F1443" s="18" t="s">
        <v>7</v>
      </c>
      <c r="G1443" s="19" t="s">
        <v>29</v>
      </c>
      <c r="H1443" s="20" t="s">
        <v>99</v>
      </c>
      <c r="I1443" s="18" t="s">
        <v>14</v>
      </c>
      <c r="J1443" t="s">
        <v>12</v>
      </c>
      <c r="K1443" s="17" t="s">
        <v>107</v>
      </c>
      <c r="L1443" s="18" t="s">
        <v>10</v>
      </c>
      <c r="M1443" t="s">
        <v>18</v>
      </c>
    </row>
  </sheetData>
  <mergeCells count="2">
    <mergeCell ref="E1:F1"/>
    <mergeCell ref="H1:J1"/>
  </mergeCells>
  <phoneticPr fontId="2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7A6E-FA9D-44D7-9DDB-C96261B97EA2}">
  <dimension ref="A1:M291"/>
  <sheetViews>
    <sheetView workbookViewId="0">
      <selection activeCell="O3" sqref="O3"/>
    </sheetView>
  </sheetViews>
  <sheetFormatPr defaultRowHeight="15" x14ac:dyDescent="0.25"/>
  <cols>
    <col min="8" max="8" width="10.7109375" customWidth="1"/>
    <col min="9" max="9" width="9.28515625" customWidth="1"/>
    <col min="11" max="11" width="11.5703125" customWidth="1"/>
    <col min="12" max="12" width="10.140625" customWidth="1"/>
  </cols>
  <sheetData>
    <row r="1" spans="1:13" ht="24" x14ac:dyDescent="0.25">
      <c r="E1" s="385" t="s">
        <v>89</v>
      </c>
      <c r="F1" s="385"/>
      <c r="G1" s="11" t="s">
        <v>90</v>
      </c>
      <c r="H1" s="386" t="s">
        <v>91</v>
      </c>
      <c r="I1" s="385"/>
      <c r="J1" s="385"/>
      <c r="K1">
        <v>8</v>
      </c>
      <c r="L1">
        <v>9</v>
      </c>
      <c r="M1">
        <v>10</v>
      </c>
    </row>
    <row r="3" spans="1:13" ht="22.5" x14ac:dyDescent="0.25">
      <c r="A3" s="13" t="s">
        <v>92</v>
      </c>
      <c r="B3" s="13" t="s">
        <v>126</v>
      </c>
      <c r="C3" s="13" t="s">
        <v>93</v>
      </c>
      <c r="D3" s="13" t="s">
        <v>2</v>
      </c>
      <c r="E3" s="14" t="s">
        <v>94</v>
      </c>
      <c r="F3" s="14" t="s">
        <v>95</v>
      </c>
      <c r="G3" s="14" t="s">
        <v>1</v>
      </c>
      <c r="H3" s="15" t="s">
        <v>96</v>
      </c>
      <c r="I3" s="14" t="s">
        <v>97</v>
      </c>
      <c r="J3" s="14" t="s">
        <v>122</v>
      </c>
      <c r="K3" s="15" t="s">
        <v>128</v>
      </c>
      <c r="L3" s="14" t="s">
        <v>129</v>
      </c>
      <c r="M3" s="14" t="s">
        <v>130</v>
      </c>
    </row>
    <row r="4" spans="1:13" x14ac:dyDescent="0.25">
      <c r="A4" t="s">
        <v>127</v>
      </c>
      <c r="B4" s="16" t="s">
        <v>7</v>
      </c>
      <c r="C4" t="s">
        <v>7</v>
      </c>
      <c r="D4" t="str">
        <f t="shared" ref="D4:D35" si="0">A4&amp;"-"&amp;B4&amp;"-"&amp;C4</f>
        <v>VENUS-Aries-Aries</v>
      </c>
      <c r="E4" s="17" t="s">
        <v>98</v>
      </c>
      <c r="F4" s="18" t="s">
        <v>7</v>
      </c>
      <c r="G4" s="19" t="s">
        <v>7</v>
      </c>
      <c r="H4" s="20" t="s">
        <v>103</v>
      </c>
      <c r="I4" s="18" t="s">
        <v>9</v>
      </c>
      <c r="J4" t="s">
        <v>9</v>
      </c>
      <c r="K4" s="17" t="s">
        <v>107</v>
      </c>
      <c r="L4" s="22" t="s">
        <v>10</v>
      </c>
      <c r="M4" t="s">
        <v>10</v>
      </c>
    </row>
    <row r="5" spans="1:13" x14ac:dyDescent="0.25">
      <c r="A5" t="s">
        <v>127</v>
      </c>
      <c r="B5" s="16" t="s">
        <v>7</v>
      </c>
      <c r="C5" t="s">
        <v>9</v>
      </c>
      <c r="D5" t="str">
        <f t="shared" si="0"/>
        <v>VENUS-Aries-Taurus</v>
      </c>
      <c r="E5" s="17" t="s">
        <v>100</v>
      </c>
      <c r="F5" s="18" t="s">
        <v>29</v>
      </c>
      <c r="G5" s="19" t="s">
        <v>7</v>
      </c>
      <c r="H5" s="20" t="s">
        <v>98</v>
      </c>
      <c r="I5" s="18" t="s">
        <v>7</v>
      </c>
      <c r="J5" t="s">
        <v>9</v>
      </c>
      <c r="K5" s="17" t="s">
        <v>108</v>
      </c>
      <c r="L5" s="22" t="s">
        <v>18</v>
      </c>
      <c r="M5" t="s">
        <v>10</v>
      </c>
    </row>
    <row r="6" spans="1:13" x14ac:dyDescent="0.25">
      <c r="A6" t="s">
        <v>127</v>
      </c>
      <c r="B6" s="16" t="s">
        <v>7</v>
      </c>
      <c r="C6" t="s">
        <v>12</v>
      </c>
      <c r="D6" t="str">
        <f t="shared" si="0"/>
        <v>VENUS-Aries-Gemini</v>
      </c>
      <c r="E6" s="17" t="s">
        <v>102</v>
      </c>
      <c r="F6" s="18" t="s">
        <v>27</v>
      </c>
      <c r="G6" s="19" t="s">
        <v>7</v>
      </c>
      <c r="H6" s="20" t="s">
        <v>100</v>
      </c>
      <c r="I6" s="18" t="s">
        <v>29</v>
      </c>
      <c r="J6" t="s">
        <v>9</v>
      </c>
      <c r="K6" s="17" t="s">
        <v>109</v>
      </c>
      <c r="L6" s="22" t="s">
        <v>16</v>
      </c>
      <c r="M6" t="s">
        <v>10</v>
      </c>
    </row>
    <row r="7" spans="1:13" x14ac:dyDescent="0.25">
      <c r="A7" t="s">
        <v>127</v>
      </c>
      <c r="B7" s="16" t="s">
        <v>7</v>
      </c>
      <c r="C7" t="s">
        <v>14</v>
      </c>
      <c r="D7" t="str">
        <f t="shared" si="0"/>
        <v>VENUS-Aries-Cancer</v>
      </c>
      <c r="E7" s="17" t="s">
        <v>104</v>
      </c>
      <c r="F7" s="18" t="s">
        <v>25</v>
      </c>
      <c r="G7" s="19" t="s">
        <v>7</v>
      </c>
      <c r="H7" s="20" t="s">
        <v>102</v>
      </c>
      <c r="I7" s="18" t="s">
        <v>27</v>
      </c>
      <c r="J7" t="s">
        <v>9</v>
      </c>
      <c r="K7" s="17" t="s">
        <v>99</v>
      </c>
      <c r="L7" s="22" t="s">
        <v>14</v>
      </c>
      <c r="M7" t="s">
        <v>10</v>
      </c>
    </row>
    <row r="8" spans="1:13" x14ac:dyDescent="0.25">
      <c r="A8" t="s">
        <v>127</v>
      </c>
      <c r="B8" s="16" t="s">
        <v>7</v>
      </c>
      <c r="C8" t="s">
        <v>16</v>
      </c>
      <c r="D8" t="str">
        <f t="shared" si="0"/>
        <v>VENUS-Aries-Leo</v>
      </c>
      <c r="E8" s="17" t="s">
        <v>105</v>
      </c>
      <c r="F8" s="18" t="s">
        <v>23</v>
      </c>
      <c r="G8" s="19" t="s">
        <v>7</v>
      </c>
      <c r="H8" s="20" t="s">
        <v>104</v>
      </c>
      <c r="I8" s="18" t="s">
        <v>25</v>
      </c>
      <c r="J8" t="s">
        <v>9</v>
      </c>
      <c r="K8" s="17" t="s">
        <v>101</v>
      </c>
      <c r="L8" s="22" t="s">
        <v>12</v>
      </c>
      <c r="M8" t="s">
        <v>10</v>
      </c>
    </row>
    <row r="9" spans="1:13" x14ac:dyDescent="0.25">
      <c r="A9" t="s">
        <v>127</v>
      </c>
      <c r="B9" s="16" t="s">
        <v>7</v>
      </c>
      <c r="C9" t="s">
        <v>18</v>
      </c>
      <c r="D9" t="str">
        <f t="shared" si="0"/>
        <v>VENUS-Aries-Virgo</v>
      </c>
      <c r="E9" s="17" t="s">
        <v>106</v>
      </c>
      <c r="F9" s="18" t="s">
        <v>21</v>
      </c>
      <c r="G9" s="19" t="s">
        <v>7</v>
      </c>
      <c r="H9" s="20" t="s">
        <v>105</v>
      </c>
      <c r="I9" s="18" t="s">
        <v>23</v>
      </c>
      <c r="J9" t="s">
        <v>9</v>
      </c>
      <c r="K9" s="17" t="s">
        <v>103</v>
      </c>
      <c r="L9" s="18" t="s">
        <v>9</v>
      </c>
      <c r="M9" t="s">
        <v>10</v>
      </c>
    </row>
    <row r="10" spans="1:13" x14ac:dyDescent="0.25">
      <c r="A10" t="s">
        <v>127</v>
      </c>
      <c r="B10" s="16" t="s">
        <v>7</v>
      </c>
      <c r="C10" t="s">
        <v>10</v>
      </c>
      <c r="D10" t="str">
        <f t="shared" si="0"/>
        <v>VENUS-Aries-Libra</v>
      </c>
      <c r="E10" s="17" t="s">
        <v>107</v>
      </c>
      <c r="F10" s="18" t="s">
        <v>10</v>
      </c>
      <c r="G10" s="19" t="s">
        <v>7</v>
      </c>
      <c r="H10" s="20" t="s">
        <v>106</v>
      </c>
      <c r="I10" s="18" t="s">
        <v>21</v>
      </c>
      <c r="J10" t="s">
        <v>9</v>
      </c>
      <c r="K10" s="17" t="s">
        <v>98</v>
      </c>
      <c r="L10" s="18" t="s">
        <v>7</v>
      </c>
      <c r="M10" t="s">
        <v>10</v>
      </c>
    </row>
    <row r="11" spans="1:13" x14ac:dyDescent="0.25">
      <c r="A11" t="s">
        <v>127</v>
      </c>
      <c r="B11" s="16" t="s">
        <v>7</v>
      </c>
      <c r="C11" t="s">
        <v>21</v>
      </c>
      <c r="D11" t="str">
        <f t="shared" si="0"/>
        <v>VENUS-Aries-Scorpio</v>
      </c>
      <c r="E11" s="17" t="s">
        <v>108</v>
      </c>
      <c r="F11" s="18" t="s">
        <v>18</v>
      </c>
      <c r="G11" s="19" t="s">
        <v>7</v>
      </c>
      <c r="H11" s="20" t="s">
        <v>107</v>
      </c>
      <c r="I11" s="18" t="s">
        <v>10</v>
      </c>
      <c r="J11" t="s">
        <v>9</v>
      </c>
      <c r="K11" s="17" t="s">
        <v>100</v>
      </c>
      <c r="L11" s="18" t="s">
        <v>29</v>
      </c>
      <c r="M11" t="s">
        <v>10</v>
      </c>
    </row>
    <row r="12" spans="1:13" x14ac:dyDescent="0.25">
      <c r="A12" t="s">
        <v>127</v>
      </c>
      <c r="B12" s="16" t="s">
        <v>7</v>
      </c>
      <c r="C12" t="s">
        <v>23</v>
      </c>
      <c r="D12" t="str">
        <f t="shared" si="0"/>
        <v>VENUS-Aries-Sagittarius</v>
      </c>
      <c r="E12" s="17" t="s">
        <v>109</v>
      </c>
      <c r="F12" s="18" t="s">
        <v>16</v>
      </c>
      <c r="G12" s="19" t="s">
        <v>7</v>
      </c>
      <c r="H12" s="20" t="s">
        <v>108</v>
      </c>
      <c r="I12" s="18" t="s">
        <v>18</v>
      </c>
      <c r="J12" t="s">
        <v>9</v>
      </c>
      <c r="K12" s="17" t="s">
        <v>102</v>
      </c>
      <c r="L12" s="18" t="s">
        <v>27</v>
      </c>
      <c r="M12" t="s">
        <v>10</v>
      </c>
    </row>
    <row r="13" spans="1:13" x14ac:dyDescent="0.25">
      <c r="A13" t="s">
        <v>127</v>
      </c>
      <c r="B13" s="16" t="s">
        <v>7</v>
      </c>
      <c r="C13" t="s">
        <v>25</v>
      </c>
      <c r="D13" t="str">
        <f t="shared" si="0"/>
        <v>VENUS-Aries-Capricorn</v>
      </c>
      <c r="E13" s="17" t="s">
        <v>99</v>
      </c>
      <c r="F13" s="18" t="s">
        <v>14</v>
      </c>
      <c r="G13" s="19" t="s">
        <v>7</v>
      </c>
      <c r="H13" s="20" t="s">
        <v>109</v>
      </c>
      <c r="I13" s="18" t="s">
        <v>16</v>
      </c>
      <c r="J13" t="s">
        <v>9</v>
      </c>
      <c r="K13" s="17" t="s">
        <v>104</v>
      </c>
      <c r="L13" s="18" t="s">
        <v>25</v>
      </c>
      <c r="M13" t="s">
        <v>10</v>
      </c>
    </row>
    <row r="14" spans="1:13" x14ac:dyDescent="0.25">
      <c r="A14" t="s">
        <v>127</v>
      </c>
      <c r="B14" s="16" t="s">
        <v>7</v>
      </c>
      <c r="C14" t="s">
        <v>27</v>
      </c>
      <c r="D14" t="str">
        <f t="shared" si="0"/>
        <v>VENUS-Aries-Aquarius</v>
      </c>
      <c r="E14" s="17" t="s">
        <v>101</v>
      </c>
      <c r="F14" s="18" t="s">
        <v>12</v>
      </c>
      <c r="G14" s="19" t="s">
        <v>7</v>
      </c>
      <c r="H14" s="20" t="s">
        <v>99</v>
      </c>
      <c r="I14" s="18" t="s">
        <v>14</v>
      </c>
      <c r="J14" t="s">
        <v>9</v>
      </c>
      <c r="K14" s="17" t="s">
        <v>105</v>
      </c>
      <c r="L14" s="18" t="s">
        <v>23</v>
      </c>
      <c r="M14" t="s">
        <v>10</v>
      </c>
    </row>
    <row r="15" spans="1:13" x14ac:dyDescent="0.25">
      <c r="A15" t="s">
        <v>127</v>
      </c>
      <c r="B15" s="16" t="s">
        <v>7</v>
      </c>
      <c r="C15" t="s">
        <v>29</v>
      </c>
      <c r="D15" t="str">
        <f t="shared" si="0"/>
        <v>VENUS-Aries-Pisces</v>
      </c>
      <c r="E15" s="17" t="s">
        <v>103</v>
      </c>
      <c r="F15" s="18" t="s">
        <v>9</v>
      </c>
      <c r="G15" s="19" t="s">
        <v>7</v>
      </c>
      <c r="H15" s="20" t="s">
        <v>101</v>
      </c>
      <c r="I15" s="18" t="s">
        <v>12</v>
      </c>
      <c r="J15" t="s">
        <v>9</v>
      </c>
      <c r="K15" s="17" t="s">
        <v>106</v>
      </c>
      <c r="L15" s="18" t="s">
        <v>21</v>
      </c>
      <c r="M15" t="s">
        <v>10</v>
      </c>
    </row>
    <row r="16" spans="1:13" x14ac:dyDescent="0.25">
      <c r="A16" t="s">
        <v>127</v>
      </c>
      <c r="B16" s="16" t="s">
        <v>9</v>
      </c>
      <c r="C16" t="s">
        <v>7</v>
      </c>
      <c r="D16" t="str">
        <f t="shared" si="0"/>
        <v>VENUS-Taurus-Aries</v>
      </c>
      <c r="E16" s="17" t="s">
        <v>103</v>
      </c>
      <c r="F16" s="18" t="s">
        <v>9</v>
      </c>
      <c r="G16" s="19" t="s">
        <v>9</v>
      </c>
      <c r="H16" s="20" t="s">
        <v>103</v>
      </c>
      <c r="I16" s="18" t="s">
        <v>9</v>
      </c>
      <c r="J16" t="s">
        <v>9</v>
      </c>
      <c r="K16" s="17" t="s">
        <v>107</v>
      </c>
      <c r="L16" s="22" t="s">
        <v>10</v>
      </c>
      <c r="M16" t="s">
        <v>10</v>
      </c>
    </row>
    <row r="17" spans="1:13" x14ac:dyDescent="0.25">
      <c r="A17" t="s">
        <v>127</v>
      </c>
      <c r="B17" s="16" t="s">
        <v>9</v>
      </c>
      <c r="C17" t="s">
        <v>9</v>
      </c>
      <c r="D17" t="str">
        <f t="shared" si="0"/>
        <v>VENUS-Taurus-Taurus</v>
      </c>
      <c r="E17" s="17" t="s">
        <v>98</v>
      </c>
      <c r="F17" s="18" t="s">
        <v>7</v>
      </c>
      <c r="G17" s="19" t="s">
        <v>9</v>
      </c>
      <c r="H17" s="20" t="s">
        <v>98</v>
      </c>
      <c r="I17" s="18" t="s">
        <v>7</v>
      </c>
      <c r="J17" t="s">
        <v>9</v>
      </c>
      <c r="K17" s="17" t="s">
        <v>108</v>
      </c>
      <c r="L17" s="22" t="s">
        <v>18</v>
      </c>
      <c r="M17" t="s">
        <v>10</v>
      </c>
    </row>
    <row r="18" spans="1:13" x14ac:dyDescent="0.25">
      <c r="A18" t="s">
        <v>127</v>
      </c>
      <c r="B18" s="16" t="s">
        <v>9</v>
      </c>
      <c r="C18" t="s">
        <v>12</v>
      </c>
      <c r="D18" t="str">
        <f t="shared" si="0"/>
        <v>VENUS-Taurus-Gemini</v>
      </c>
      <c r="E18" s="17" t="s">
        <v>100</v>
      </c>
      <c r="F18" s="18" t="s">
        <v>29</v>
      </c>
      <c r="G18" s="19" t="s">
        <v>9</v>
      </c>
      <c r="H18" s="20" t="s">
        <v>100</v>
      </c>
      <c r="I18" s="18" t="s">
        <v>29</v>
      </c>
      <c r="J18" t="s">
        <v>9</v>
      </c>
      <c r="K18" s="17" t="s">
        <v>109</v>
      </c>
      <c r="L18" s="22" t="s">
        <v>16</v>
      </c>
      <c r="M18" t="s">
        <v>10</v>
      </c>
    </row>
    <row r="19" spans="1:13" x14ac:dyDescent="0.25">
      <c r="A19" t="s">
        <v>127</v>
      </c>
      <c r="B19" s="16" t="s">
        <v>9</v>
      </c>
      <c r="C19" t="s">
        <v>14</v>
      </c>
      <c r="D19" t="str">
        <f t="shared" si="0"/>
        <v>VENUS-Taurus-Cancer</v>
      </c>
      <c r="E19" s="17" t="s">
        <v>102</v>
      </c>
      <c r="F19" s="18" t="s">
        <v>27</v>
      </c>
      <c r="G19" s="19" t="s">
        <v>9</v>
      </c>
      <c r="H19" s="20" t="s">
        <v>102</v>
      </c>
      <c r="I19" s="18" t="s">
        <v>27</v>
      </c>
      <c r="J19" t="s">
        <v>9</v>
      </c>
      <c r="K19" s="17" t="s">
        <v>99</v>
      </c>
      <c r="L19" s="22" t="s">
        <v>14</v>
      </c>
      <c r="M19" t="s">
        <v>10</v>
      </c>
    </row>
    <row r="20" spans="1:13" x14ac:dyDescent="0.25">
      <c r="A20" t="s">
        <v>127</v>
      </c>
      <c r="B20" s="16" t="s">
        <v>9</v>
      </c>
      <c r="C20" t="s">
        <v>16</v>
      </c>
      <c r="D20" t="str">
        <f t="shared" si="0"/>
        <v>VENUS-Taurus-Leo</v>
      </c>
      <c r="E20" s="17" t="s">
        <v>104</v>
      </c>
      <c r="F20" s="18" t="s">
        <v>25</v>
      </c>
      <c r="G20" s="19" t="s">
        <v>9</v>
      </c>
      <c r="H20" s="20" t="s">
        <v>104</v>
      </c>
      <c r="I20" s="18" t="s">
        <v>25</v>
      </c>
      <c r="J20" t="s">
        <v>9</v>
      </c>
      <c r="K20" s="17" t="s">
        <v>101</v>
      </c>
      <c r="L20" s="22" t="s">
        <v>12</v>
      </c>
      <c r="M20" t="s">
        <v>10</v>
      </c>
    </row>
    <row r="21" spans="1:13" x14ac:dyDescent="0.25">
      <c r="A21" t="s">
        <v>127</v>
      </c>
      <c r="B21" s="16" t="s">
        <v>9</v>
      </c>
      <c r="C21" t="s">
        <v>18</v>
      </c>
      <c r="D21" t="str">
        <f t="shared" si="0"/>
        <v>VENUS-Taurus-Virgo</v>
      </c>
      <c r="E21" s="17" t="s">
        <v>105</v>
      </c>
      <c r="F21" s="18" t="s">
        <v>23</v>
      </c>
      <c r="G21" s="19" t="s">
        <v>9</v>
      </c>
      <c r="H21" s="20" t="s">
        <v>105</v>
      </c>
      <c r="I21" s="18" t="s">
        <v>23</v>
      </c>
      <c r="J21" t="s">
        <v>9</v>
      </c>
      <c r="K21" s="17" t="s">
        <v>103</v>
      </c>
      <c r="L21" s="18" t="s">
        <v>9</v>
      </c>
      <c r="M21" t="s">
        <v>10</v>
      </c>
    </row>
    <row r="22" spans="1:13" x14ac:dyDescent="0.25">
      <c r="A22" t="s">
        <v>127</v>
      </c>
      <c r="B22" s="16" t="s">
        <v>9</v>
      </c>
      <c r="C22" t="s">
        <v>10</v>
      </c>
      <c r="D22" t="str">
        <f t="shared" si="0"/>
        <v>VENUS-Taurus-Libra</v>
      </c>
      <c r="E22" s="17" t="s">
        <v>106</v>
      </c>
      <c r="F22" s="18" t="s">
        <v>21</v>
      </c>
      <c r="G22" s="19" t="s">
        <v>9</v>
      </c>
      <c r="H22" s="20" t="s">
        <v>106</v>
      </c>
      <c r="I22" s="18" t="s">
        <v>21</v>
      </c>
      <c r="J22" t="s">
        <v>9</v>
      </c>
      <c r="K22" s="17" t="s">
        <v>98</v>
      </c>
      <c r="L22" s="18" t="s">
        <v>7</v>
      </c>
      <c r="M22" t="s">
        <v>10</v>
      </c>
    </row>
    <row r="23" spans="1:13" x14ac:dyDescent="0.25">
      <c r="A23" t="s">
        <v>127</v>
      </c>
      <c r="B23" s="16" t="s">
        <v>9</v>
      </c>
      <c r="C23" t="s">
        <v>21</v>
      </c>
      <c r="D23" t="str">
        <f t="shared" si="0"/>
        <v>VENUS-Taurus-Scorpio</v>
      </c>
      <c r="E23" s="17" t="s">
        <v>107</v>
      </c>
      <c r="F23" s="18" t="s">
        <v>10</v>
      </c>
      <c r="G23" s="19" t="s">
        <v>9</v>
      </c>
      <c r="H23" s="20" t="s">
        <v>107</v>
      </c>
      <c r="I23" s="18" t="s">
        <v>10</v>
      </c>
      <c r="J23" t="s">
        <v>9</v>
      </c>
      <c r="K23" s="17" t="s">
        <v>100</v>
      </c>
      <c r="L23" s="18" t="s">
        <v>29</v>
      </c>
      <c r="M23" t="s">
        <v>10</v>
      </c>
    </row>
    <row r="24" spans="1:13" x14ac:dyDescent="0.25">
      <c r="A24" t="s">
        <v>127</v>
      </c>
      <c r="B24" s="16" t="s">
        <v>9</v>
      </c>
      <c r="C24" t="s">
        <v>23</v>
      </c>
      <c r="D24" t="str">
        <f t="shared" si="0"/>
        <v>VENUS-Taurus-Sagittarius</v>
      </c>
      <c r="E24" s="17" t="s">
        <v>108</v>
      </c>
      <c r="F24" s="18" t="s">
        <v>18</v>
      </c>
      <c r="G24" s="19" t="s">
        <v>9</v>
      </c>
      <c r="H24" s="20" t="s">
        <v>108</v>
      </c>
      <c r="I24" s="18" t="s">
        <v>18</v>
      </c>
      <c r="J24" t="s">
        <v>9</v>
      </c>
      <c r="K24" s="17" t="s">
        <v>102</v>
      </c>
      <c r="L24" s="18" t="s">
        <v>27</v>
      </c>
      <c r="M24" t="s">
        <v>10</v>
      </c>
    </row>
    <row r="25" spans="1:13" x14ac:dyDescent="0.25">
      <c r="A25" t="s">
        <v>127</v>
      </c>
      <c r="B25" s="16" t="s">
        <v>9</v>
      </c>
      <c r="C25" t="s">
        <v>25</v>
      </c>
      <c r="D25" t="str">
        <f t="shared" si="0"/>
        <v>VENUS-Taurus-Capricorn</v>
      </c>
      <c r="E25" s="17" t="s">
        <v>109</v>
      </c>
      <c r="F25" s="18" t="s">
        <v>16</v>
      </c>
      <c r="G25" s="19" t="s">
        <v>9</v>
      </c>
      <c r="H25" s="20" t="s">
        <v>109</v>
      </c>
      <c r="I25" s="18" t="s">
        <v>16</v>
      </c>
      <c r="J25" t="s">
        <v>9</v>
      </c>
      <c r="K25" s="17" t="s">
        <v>104</v>
      </c>
      <c r="L25" s="18" t="s">
        <v>25</v>
      </c>
      <c r="M25" t="s">
        <v>10</v>
      </c>
    </row>
    <row r="26" spans="1:13" x14ac:dyDescent="0.25">
      <c r="A26" t="s">
        <v>127</v>
      </c>
      <c r="B26" s="16" t="s">
        <v>9</v>
      </c>
      <c r="C26" t="s">
        <v>27</v>
      </c>
      <c r="D26" t="str">
        <f t="shared" si="0"/>
        <v>VENUS-Taurus-Aquarius</v>
      </c>
      <c r="E26" s="17" t="s">
        <v>99</v>
      </c>
      <c r="F26" s="18" t="s">
        <v>14</v>
      </c>
      <c r="G26" s="19" t="s">
        <v>9</v>
      </c>
      <c r="H26" s="20" t="s">
        <v>99</v>
      </c>
      <c r="I26" s="18" t="s">
        <v>14</v>
      </c>
      <c r="J26" t="s">
        <v>9</v>
      </c>
      <c r="K26" s="17" t="s">
        <v>105</v>
      </c>
      <c r="L26" s="18" t="s">
        <v>23</v>
      </c>
      <c r="M26" t="s">
        <v>10</v>
      </c>
    </row>
    <row r="27" spans="1:13" x14ac:dyDescent="0.25">
      <c r="A27" t="s">
        <v>127</v>
      </c>
      <c r="B27" s="16" t="s">
        <v>9</v>
      </c>
      <c r="C27" t="s">
        <v>29</v>
      </c>
      <c r="D27" t="str">
        <f t="shared" si="0"/>
        <v>VENUS-Taurus-Pisces</v>
      </c>
      <c r="E27" s="17" t="s">
        <v>101</v>
      </c>
      <c r="F27" s="18" t="s">
        <v>12</v>
      </c>
      <c r="G27" s="19" t="s">
        <v>9</v>
      </c>
      <c r="H27" s="20" t="s">
        <v>101</v>
      </c>
      <c r="I27" s="18" t="s">
        <v>12</v>
      </c>
      <c r="J27" t="s">
        <v>9</v>
      </c>
      <c r="K27" s="17" t="s">
        <v>106</v>
      </c>
      <c r="L27" s="18" t="s">
        <v>21</v>
      </c>
      <c r="M27" t="s">
        <v>10</v>
      </c>
    </row>
    <row r="28" spans="1:13" x14ac:dyDescent="0.25">
      <c r="A28" t="s">
        <v>127</v>
      </c>
      <c r="B28" s="16" t="s">
        <v>12</v>
      </c>
      <c r="C28" t="s">
        <v>7</v>
      </c>
      <c r="D28" t="str">
        <f t="shared" si="0"/>
        <v>VENUS-Gemini-Aries</v>
      </c>
      <c r="E28" s="17" t="s">
        <v>101</v>
      </c>
      <c r="F28" s="18" t="s">
        <v>12</v>
      </c>
      <c r="G28" s="19" t="s">
        <v>12</v>
      </c>
      <c r="H28" s="20" t="s">
        <v>103</v>
      </c>
      <c r="I28" s="18" t="s">
        <v>9</v>
      </c>
      <c r="J28" t="s">
        <v>9</v>
      </c>
      <c r="K28" s="17" t="s">
        <v>107</v>
      </c>
      <c r="L28" s="22" t="s">
        <v>10</v>
      </c>
      <c r="M28" t="s">
        <v>10</v>
      </c>
    </row>
    <row r="29" spans="1:13" x14ac:dyDescent="0.25">
      <c r="A29" t="s">
        <v>127</v>
      </c>
      <c r="B29" s="16" t="s">
        <v>12</v>
      </c>
      <c r="C29" t="s">
        <v>9</v>
      </c>
      <c r="D29" t="str">
        <f t="shared" si="0"/>
        <v>VENUS-Gemini-Taurus</v>
      </c>
      <c r="E29" s="17" t="s">
        <v>103</v>
      </c>
      <c r="F29" s="18" t="s">
        <v>9</v>
      </c>
      <c r="G29" s="19" t="s">
        <v>12</v>
      </c>
      <c r="H29" s="20" t="s">
        <v>98</v>
      </c>
      <c r="I29" s="18" t="s">
        <v>7</v>
      </c>
      <c r="J29" t="s">
        <v>9</v>
      </c>
      <c r="K29" s="17" t="s">
        <v>108</v>
      </c>
      <c r="L29" s="22" t="s">
        <v>18</v>
      </c>
      <c r="M29" t="s">
        <v>10</v>
      </c>
    </row>
    <row r="30" spans="1:13" x14ac:dyDescent="0.25">
      <c r="A30" t="s">
        <v>127</v>
      </c>
      <c r="B30" s="16" t="s">
        <v>12</v>
      </c>
      <c r="C30" t="s">
        <v>12</v>
      </c>
      <c r="D30" t="str">
        <f t="shared" si="0"/>
        <v>VENUS-Gemini-Gemini</v>
      </c>
      <c r="E30" s="17" t="s">
        <v>98</v>
      </c>
      <c r="F30" s="18" t="s">
        <v>7</v>
      </c>
      <c r="G30" s="19" t="s">
        <v>12</v>
      </c>
      <c r="H30" s="20" t="s">
        <v>100</v>
      </c>
      <c r="I30" s="18" t="s">
        <v>29</v>
      </c>
      <c r="J30" t="s">
        <v>9</v>
      </c>
      <c r="K30" s="17" t="s">
        <v>109</v>
      </c>
      <c r="L30" s="22" t="s">
        <v>16</v>
      </c>
      <c r="M30" t="s">
        <v>10</v>
      </c>
    </row>
    <row r="31" spans="1:13" x14ac:dyDescent="0.25">
      <c r="A31" t="s">
        <v>127</v>
      </c>
      <c r="B31" s="16" t="s">
        <v>12</v>
      </c>
      <c r="C31" t="s">
        <v>14</v>
      </c>
      <c r="D31" t="str">
        <f t="shared" si="0"/>
        <v>VENUS-Gemini-Cancer</v>
      </c>
      <c r="E31" s="17" t="s">
        <v>100</v>
      </c>
      <c r="F31" s="18" t="s">
        <v>29</v>
      </c>
      <c r="G31" s="19" t="s">
        <v>12</v>
      </c>
      <c r="H31" s="20" t="s">
        <v>102</v>
      </c>
      <c r="I31" s="18" t="s">
        <v>27</v>
      </c>
      <c r="J31" t="s">
        <v>9</v>
      </c>
      <c r="K31" s="17" t="s">
        <v>99</v>
      </c>
      <c r="L31" s="22" t="s">
        <v>14</v>
      </c>
      <c r="M31" t="s">
        <v>10</v>
      </c>
    </row>
    <row r="32" spans="1:13" x14ac:dyDescent="0.25">
      <c r="A32" t="s">
        <v>127</v>
      </c>
      <c r="B32" s="16" t="s">
        <v>12</v>
      </c>
      <c r="C32" t="s">
        <v>16</v>
      </c>
      <c r="D32" t="str">
        <f t="shared" si="0"/>
        <v>VENUS-Gemini-Leo</v>
      </c>
      <c r="E32" s="17" t="s">
        <v>102</v>
      </c>
      <c r="F32" s="18" t="s">
        <v>27</v>
      </c>
      <c r="G32" s="19" t="s">
        <v>12</v>
      </c>
      <c r="H32" s="20" t="s">
        <v>104</v>
      </c>
      <c r="I32" s="18" t="s">
        <v>25</v>
      </c>
      <c r="J32" t="s">
        <v>9</v>
      </c>
      <c r="K32" s="17" t="s">
        <v>101</v>
      </c>
      <c r="L32" s="22" t="s">
        <v>12</v>
      </c>
      <c r="M32" t="s">
        <v>10</v>
      </c>
    </row>
    <row r="33" spans="1:13" x14ac:dyDescent="0.25">
      <c r="A33" t="s">
        <v>127</v>
      </c>
      <c r="B33" s="16" t="s">
        <v>12</v>
      </c>
      <c r="C33" t="s">
        <v>18</v>
      </c>
      <c r="D33" t="str">
        <f t="shared" si="0"/>
        <v>VENUS-Gemini-Virgo</v>
      </c>
      <c r="E33" s="17" t="s">
        <v>104</v>
      </c>
      <c r="F33" s="18" t="s">
        <v>25</v>
      </c>
      <c r="G33" s="19" t="s">
        <v>12</v>
      </c>
      <c r="H33" s="20" t="s">
        <v>105</v>
      </c>
      <c r="I33" s="18" t="s">
        <v>23</v>
      </c>
      <c r="J33" t="s">
        <v>9</v>
      </c>
      <c r="K33" s="17" t="s">
        <v>103</v>
      </c>
      <c r="L33" s="18" t="s">
        <v>9</v>
      </c>
      <c r="M33" t="s">
        <v>10</v>
      </c>
    </row>
    <row r="34" spans="1:13" x14ac:dyDescent="0.25">
      <c r="A34" t="s">
        <v>127</v>
      </c>
      <c r="B34" s="16" t="s">
        <v>12</v>
      </c>
      <c r="C34" t="s">
        <v>10</v>
      </c>
      <c r="D34" t="str">
        <f t="shared" si="0"/>
        <v>VENUS-Gemini-Libra</v>
      </c>
      <c r="E34" s="17" t="s">
        <v>105</v>
      </c>
      <c r="F34" s="18" t="s">
        <v>23</v>
      </c>
      <c r="G34" s="19" t="s">
        <v>12</v>
      </c>
      <c r="H34" s="20" t="s">
        <v>106</v>
      </c>
      <c r="I34" s="18" t="s">
        <v>21</v>
      </c>
      <c r="J34" t="s">
        <v>9</v>
      </c>
      <c r="K34" s="17" t="s">
        <v>98</v>
      </c>
      <c r="L34" s="18" t="s">
        <v>7</v>
      </c>
      <c r="M34" t="s">
        <v>10</v>
      </c>
    </row>
    <row r="35" spans="1:13" x14ac:dyDescent="0.25">
      <c r="A35" t="s">
        <v>127</v>
      </c>
      <c r="B35" s="16" t="s">
        <v>12</v>
      </c>
      <c r="C35" t="s">
        <v>21</v>
      </c>
      <c r="D35" t="str">
        <f t="shared" si="0"/>
        <v>VENUS-Gemini-Scorpio</v>
      </c>
      <c r="E35" s="17" t="s">
        <v>106</v>
      </c>
      <c r="F35" s="18" t="s">
        <v>21</v>
      </c>
      <c r="G35" s="19" t="s">
        <v>12</v>
      </c>
      <c r="H35" s="20" t="s">
        <v>107</v>
      </c>
      <c r="I35" s="18" t="s">
        <v>10</v>
      </c>
      <c r="J35" t="s">
        <v>9</v>
      </c>
      <c r="K35" s="17" t="s">
        <v>100</v>
      </c>
      <c r="L35" s="18" t="s">
        <v>29</v>
      </c>
      <c r="M35" t="s">
        <v>10</v>
      </c>
    </row>
    <row r="36" spans="1:13" x14ac:dyDescent="0.25">
      <c r="A36" t="s">
        <v>127</v>
      </c>
      <c r="B36" s="16" t="s">
        <v>12</v>
      </c>
      <c r="C36" t="s">
        <v>23</v>
      </c>
      <c r="D36" t="str">
        <f t="shared" ref="D36:D67" si="1">A36&amp;"-"&amp;B36&amp;"-"&amp;C36</f>
        <v>VENUS-Gemini-Sagittarius</v>
      </c>
      <c r="E36" s="17" t="s">
        <v>107</v>
      </c>
      <c r="F36" s="18" t="s">
        <v>10</v>
      </c>
      <c r="G36" s="19" t="s">
        <v>12</v>
      </c>
      <c r="H36" s="20" t="s">
        <v>108</v>
      </c>
      <c r="I36" s="18" t="s">
        <v>18</v>
      </c>
      <c r="J36" t="s">
        <v>9</v>
      </c>
      <c r="K36" s="17" t="s">
        <v>102</v>
      </c>
      <c r="L36" s="18" t="s">
        <v>27</v>
      </c>
      <c r="M36" t="s">
        <v>10</v>
      </c>
    </row>
    <row r="37" spans="1:13" x14ac:dyDescent="0.25">
      <c r="A37" t="s">
        <v>127</v>
      </c>
      <c r="B37" s="16" t="s">
        <v>12</v>
      </c>
      <c r="C37" t="s">
        <v>25</v>
      </c>
      <c r="D37" t="str">
        <f t="shared" si="1"/>
        <v>VENUS-Gemini-Capricorn</v>
      </c>
      <c r="E37" s="17" t="s">
        <v>108</v>
      </c>
      <c r="F37" s="18" t="s">
        <v>18</v>
      </c>
      <c r="G37" s="19" t="s">
        <v>12</v>
      </c>
      <c r="H37" s="20" t="s">
        <v>109</v>
      </c>
      <c r="I37" s="18" t="s">
        <v>16</v>
      </c>
      <c r="J37" t="s">
        <v>9</v>
      </c>
      <c r="K37" s="17" t="s">
        <v>104</v>
      </c>
      <c r="L37" s="18" t="s">
        <v>25</v>
      </c>
      <c r="M37" t="s">
        <v>10</v>
      </c>
    </row>
    <row r="38" spans="1:13" x14ac:dyDescent="0.25">
      <c r="A38" t="s">
        <v>127</v>
      </c>
      <c r="B38" s="16" t="s">
        <v>12</v>
      </c>
      <c r="C38" t="s">
        <v>27</v>
      </c>
      <c r="D38" t="str">
        <f t="shared" si="1"/>
        <v>VENUS-Gemini-Aquarius</v>
      </c>
      <c r="E38" s="17" t="s">
        <v>109</v>
      </c>
      <c r="F38" s="18" t="s">
        <v>16</v>
      </c>
      <c r="G38" s="19" t="s">
        <v>12</v>
      </c>
      <c r="H38" s="20" t="s">
        <v>99</v>
      </c>
      <c r="I38" s="18" t="s">
        <v>14</v>
      </c>
      <c r="J38" t="s">
        <v>9</v>
      </c>
      <c r="K38" s="17" t="s">
        <v>105</v>
      </c>
      <c r="L38" s="18" t="s">
        <v>23</v>
      </c>
      <c r="M38" t="s">
        <v>10</v>
      </c>
    </row>
    <row r="39" spans="1:13" x14ac:dyDescent="0.25">
      <c r="A39" t="s">
        <v>127</v>
      </c>
      <c r="B39" s="16" t="s">
        <v>12</v>
      </c>
      <c r="C39" t="s">
        <v>29</v>
      </c>
      <c r="D39" t="str">
        <f t="shared" si="1"/>
        <v>VENUS-Gemini-Pisces</v>
      </c>
      <c r="E39" s="17" t="s">
        <v>99</v>
      </c>
      <c r="F39" s="18" t="s">
        <v>14</v>
      </c>
      <c r="G39" s="19" t="s">
        <v>12</v>
      </c>
      <c r="H39" s="20" t="s">
        <v>101</v>
      </c>
      <c r="I39" s="18" t="s">
        <v>12</v>
      </c>
      <c r="J39" t="s">
        <v>9</v>
      </c>
      <c r="K39" s="17" t="s">
        <v>106</v>
      </c>
      <c r="L39" s="18" t="s">
        <v>21</v>
      </c>
      <c r="M39" t="s">
        <v>10</v>
      </c>
    </row>
    <row r="40" spans="1:13" x14ac:dyDescent="0.25">
      <c r="A40" t="s">
        <v>127</v>
      </c>
      <c r="B40" s="16" t="s">
        <v>14</v>
      </c>
      <c r="C40" t="s">
        <v>7</v>
      </c>
      <c r="D40" t="str">
        <f t="shared" si="1"/>
        <v>VENUS-Cancer-Aries</v>
      </c>
      <c r="E40" s="17" t="s">
        <v>99</v>
      </c>
      <c r="F40" s="18" t="s">
        <v>14</v>
      </c>
      <c r="G40" s="19" t="s">
        <v>14</v>
      </c>
      <c r="H40" s="20" t="s">
        <v>103</v>
      </c>
      <c r="I40" s="18" t="s">
        <v>9</v>
      </c>
      <c r="J40" t="s">
        <v>9</v>
      </c>
      <c r="K40" s="17" t="s">
        <v>107</v>
      </c>
      <c r="L40" s="22" t="s">
        <v>10</v>
      </c>
      <c r="M40" t="s">
        <v>10</v>
      </c>
    </row>
    <row r="41" spans="1:13" x14ac:dyDescent="0.25">
      <c r="A41" t="s">
        <v>127</v>
      </c>
      <c r="B41" s="16" t="s">
        <v>14</v>
      </c>
      <c r="C41" t="s">
        <v>9</v>
      </c>
      <c r="D41" t="str">
        <f t="shared" si="1"/>
        <v>VENUS-Cancer-Taurus</v>
      </c>
      <c r="E41" s="17" t="s">
        <v>101</v>
      </c>
      <c r="F41" s="18" t="s">
        <v>12</v>
      </c>
      <c r="G41" s="19" t="s">
        <v>14</v>
      </c>
      <c r="H41" s="20" t="s">
        <v>98</v>
      </c>
      <c r="I41" s="18" t="s">
        <v>7</v>
      </c>
      <c r="J41" t="s">
        <v>9</v>
      </c>
      <c r="K41" s="17" t="s">
        <v>108</v>
      </c>
      <c r="L41" s="22" t="s">
        <v>18</v>
      </c>
      <c r="M41" t="s">
        <v>10</v>
      </c>
    </row>
    <row r="42" spans="1:13" x14ac:dyDescent="0.25">
      <c r="A42" t="s">
        <v>127</v>
      </c>
      <c r="B42" s="16" t="s">
        <v>14</v>
      </c>
      <c r="C42" t="s">
        <v>12</v>
      </c>
      <c r="D42" t="str">
        <f t="shared" si="1"/>
        <v>VENUS-Cancer-Gemini</v>
      </c>
      <c r="E42" s="17" t="s">
        <v>103</v>
      </c>
      <c r="F42" s="18" t="s">
        <v>9</v>
      </c>
      <c r="G42" s="19" t="s">
        <v>14</v>
      </c>
      <c r="H42" s="20" t="s">
        <v>100</v>
      </c>
      <c r="I42" s="18" t="s">
        <v>29</v>
      </c>
      <c r="J42" t="s">
        <v>9</v>
      </c>
      <c r="K42" s="17" t="s">
        <v>109</v>
      </c>
      <c r="L42" s="22" t="s">
        <v>16</v>
      </c>
      <c r="M42" t="s">
        <v>10</v>
      </c>
    </row>
    <row r="43" spans="1:13" x14ac:dyDescent="0.25">
      <c r="A43" t="s">
        <v>127</v>
      </c>
      <c r="B43" s="16" t="s">
        <v>14</v>
      </c>
      <c r="C43" t="s">
        <v>14</v>
      </c>
      <c r="D43" t="str">
        <f t="shared" si="1"/>
        <v>VENUS-Cancer-Cancer</v>
      </c>
      <c r="E43" s="17" t="s">
        <v>98</v>
      </c>
      <c r="F43" s="18" t="s">
        <v>7</v>
      </c>
      <c r="G43" s="19" t="s">
        <v>14</v>
      </c>
      <c r="H43" s="20" t="s">
        <v>102</v>
      </c>
      <c r="I43" s="18" t="s">
        <v>27</v>
      </c>
      <c r="J43" t="s">
        <v>9</v>
      </c>
      <c r="K43" s="17" t="s">
        <v>99</v>
      </c>
      <c r="L43" s="22" t="s">
        <v>14</v>
      </c>
      <c r="M43" t="s">
        <v>10</v>
      </c>
    </row>
    <row r="44" spans="1:13" x14ac:dyDescent="0.25">
      <c r="A44" t="s">
        <v>127</v>
      </c>
      <c r="B44" s="16" t="s">
        <v>14</v>
      </c>
      <c r="C44" t="s">
        <v>16</v>
      </c>
      <c r="D44" t="str">
        <f t="shared" si="1"/>
        <v>VENUS-Cancer-Leo</v>
      </c>
      <c r="E44" s="17" t="s">
        <v>100</v>
      </c>
      <c r="F44" s="18" t="s">
        <v>29</v>
      </c>
      <c r="G44" s="19" t="s">
        <v>14</v>
      </c>
      <c r="H44" s="20" t="s">
        <v>104</v>
      </c>
      <c r="I44" s="18" t="s">
        <v>25</v>
      </c>
      <c r="J44" t="s">
        <v>9</v>
      </c>
      <c r="K44" s="17" t="s">
        <v>101</v>
      </c>
      <c r="L44" s="22" t="s">
        <v>12</v>
      </c>
      <c r="M44" t="s">
        <v>10</v>
      </c>
    </row>
    <row r="45" spans="1:13" x14ac:dyDescent="0.25">
      <c r="A45" t="s">
        <v>127</v>
      </c>
      <c r="B45" s="16" t="s">
        <v>14</v>
      </c>
      <c r="C45" t="s">
        <v>18</v>
      </c>
      <c r="D45" t="str">
        <f t="shared" si="1"/>
        <v>VENUS-Cancer-Virgo</v>
      </c>
      <c r="E45" s="17" t="s">
        <v>102</v>
      </c>
      <c r="F45" s="18" t="s">
        <v>27</v>
      </c>
      <c r="G45" s="19" t="s">
        <v>14</v>
      </c>
      <c r="H45" s="20" t="s">
        <v>105</v>
      </c>
      <c r="I45" s="18" t="s">
        <v>23</v>
      </c>
      <c r="J45" t="s">
        <v>9</v>
      </c>
      <c r="K45" s="17" t="s">
        <v>103</v>
      </c>
      <c r="L45" s="18" t="s">
        <v>9</v>
      </c>
      <c r="M45" t="s">
        <v>10</v>
      </c>
    </row>
    <row r="46" spans="1:13" x14ac:dyDescent="0.25">
      <c r="A46" t="s">
        <v>127</v>
      </c>
      <c r="B46" s="16" t="s">
        <v>14</v>
      </c>
      <c r="C46" t="s">
        <v>10</v>
      </c>
      <c r="D46" t="str">
        <f t="shared" si="1"/>
        <v>VENUS-Cancer-Libra</v>
      </c>
      <c r="E46" s="17" t="s">
        <v>104</v>
      </c>
      <c r="F46" s="18" t="s">
        <v>25</v>
      </c>
      <c r="G46" s="19" t="s">
        <v>14</v>
      </c>
      <c r="H46" s="20" t="s">
        <v>106</v>
      </c>
      <c r="I46" s="18" t="s">
        <v>21</v>
      </c>
      <c r="J46" t="s">
        <v>9</v>
      </c>
      <c r="K46" s="17" t="s">
        <v>98</v>
      </c>
      <c r="L46" s="18" t="s">
        <v>7</v>
      </c>
      <c r="M46" t="s">
        <v>10</v>
      </c>
    </row>
    <row r="47" spans="1:13" x14ac:dyDescent="0.25">
      <c r="A47" t="s">
        <v>127</v>
      </c>
      <c r="B47" s="16" t="s">
        <v>14</v>
      </c>
      <c r="C47" t="s">
        <v>21</v>
      </c>
      <c r="D47" t="str">
        <f t="shared" si="1"/>
        <v>VENUS-Cancer-Scorpio</v>
      </c>
      <c r="E47" s="17" t="s">
        <v>105</v>
      </c>
      <c r="F47" s="18" t="s">
        <v>23</v>
      </c>
      <c r="G47" s="19" t="s">
        <v>14</v>
      </c>
      <c r="H47" s="20" t="s">
        <v>107</v>
      </c>
      <c r="I47" s="18" t="s">
        <v>10</v>
      </c>
      <c r="J47" t="s">
        <v>9</v>
      </c>
      <c r="K47" s="17" t="s">
        <v>100</v>
      </c>
      <c r="L47" s="18" t="s">
        <v>29</v>
      </c>
      <c r="M47" t="s">
        <v>10</v>
      </c>
    </row>
    <row r="48" spans="1:13" x14ac:dyDescent="0.25">
      <c r="A48" t="s">
        <v>127</v>
      </c>
      <c r="B48" s="16" t="s">
        <v>14</v>
      </c>
      <c r="C48" t="s">
        <v>23</v>
      </c>
      <c r="D48" t="str">
        <f t="shared" si="1"/>
        <v>VENUS-Cancer-Sagittarius</v>
      </c>
      <c r="E48" s="17" t="s">
        <v>106</v>
      </c>
      <c r="F48" s="18" t="s">
        <v>21</v>
      </c>
      <c r="G48" s="19" t="s">
        <v>14</v>
      </c>
      <c r="H48" s="20" t="s">
        <v>108</v>
      </c>
      <c r="I48" s="18" t="s">
        <v>18</v>
      </c>
      <c r="J48" t="s">
        <v>9</v>
      </c>
      <c r="K48" s="17" t="s">
        <v>102</v>
      </c>
      <c r="L48" s="18" t="s">
        <v>27</v>
      </c>
      <c r="M48" t="s">
        <v>10</v>
      </c>
    </row>
    <row r="49" spans="1:13" x14ac:dyDescent="0.25">
      <c r="A49" t="s">
        <v>127</v>
      </c>
      <c r="B49" s="16" t="s">
        <v>14</v>
      </c>
      <c r="C49" t="s">
        <v>25</v>
      </c>
      <c r="D49" t="str">
        <f t="shared" si="1"/>
        <v>VENUS-Cancer-Capricorn</v>
      </c>
      <c r="E49" s="17" t="s">
        <v>107</v>
      </c>
      <c r="F49" s="18" t="s">
        <v>10</v>
      </c>
      <c r="G49" s="19" t="s">
        <v>14</v>
      </c>
      <c r="H49" s="20" t="s">
        <v>109</v>
      </c>
      <c r="I49" s="18" t="s">
        <v>16</v>
      </c>
      <c r="J49" t="s">
        <v>9</v>
      </c>
      <c r="K49" s="17" t="s">
        <v>104</v>
      </c>
      <c r="L49" s="18" t="s">
        <v>25</v>
      </c>
      <c r="M49" t="s">
        <v>10</v>
      </c>
    </row>
    <row r="50" spans="1:13" x14ac:dyDescent="0.25">
      <c r="A50" t="s">
        <v>127</v>
      </c>
      <c r="B50" s="16" t="s">
        <v>14</v>
      </c>
      <c r="C50" t="s">
        <v>27</v>
      </c>
      <c r="D50" t="str">
        <f t="shared" si="1"/>
        <v>VENUS-Cancer-Aquarius</v>
      </c>
      <c r="E50" s="17" t="s">
        <v>108</v>
      </c>
      <c r="F50" s="18" t="s">
        <v>18</v>
      </c>
      <c r="G50" s="19" t="s">
        <v>14</v>
      </c>
      <c r="H50" s="20" t="s">
        <v>99</v>
      </c>
      <c r="I50" s="18" t="s">
        <v>14</v>
      </c>
      <c r="J50" t="s">
        <v>9</v>
      </c>
      <c r="K50" s="17" t="s">
        <v>105</v>
      </c>
      <c r="L50" s="18" t="s">
        <v>23</v>
      </c>
      <c r="M50" t="s">
        <v>10</v>
      </c>
    </row>
    <row r="51" spans="1:13" x14ac:dyDescent="0.25">
      <c r="A51" t="s">
        <v>127</v>
      </c>
      <c r="B51" s="16" t="s">
        <v>14</v>
      </c>
      <c r="C51" t="s">
        <v>29</v>
      </c>
      <c r="D51" t="str">
        <f t="shared" si="1"/>
        <v>VENUS-Cancer-Pisces</v>
      </c>
      <c r="E51" s="17" t="s">
        <v>109</v>
      </c>
      <c r="F51" s="18" t="s">
        <v>16</v>
      </c>
      <c r="G51" s="19" t="s">
        <v>14</v>
      </c>
      <c r="H51" s="20" t="s">
        <v>101</v>
      </c>
      <c r="I51" s="18" t="s">
        <v>12</v>
      </c>
      <c r="J51" t="s">
        <v>9</v>
      </c>
      <c r="K51" s="17" t="s">
        <v>106</v>
      </c>
      <c r="L51" s="18" t="s">
        <v>21</v>
      </c>
      <c r="M51" t="s">
        <v>10</v>
      </c>
    </row>
    <row r="52" spans="1:13" x14ac:dyDescent="0.25">
      <c r="A52" t="s">
        <v>127</v>
      </c>
      <c r="B52" s="16" t="s">
        <v>16</v>
      </c>
      <c r="C52" t="s">
        <v>7</v>
      </c>
      <c r="D52" t="str">
        <f t="shared" si="1"/>
        <v>VENUS-Leo-Aries</v>
      </c>
      <c r="E52" s="17" t="s">
        <v>109</v>
      </c>
      <c r="F52" s="18" t="s">
        <v>16</v>
      </c>
      <c r="G52" s="19" t="s">
        <v>16</v>
      </c>
      <c r="H52" s="20" t="s">
        <v>103</v>
      </c>
      <c r="I52" s="18" t="s">
        <v>9</v>
      </c>
      <c r="J52" t="s">
        <v>9</v>
      </c>
      <c r="K52" s="17" t="s">
        <v>107</v>
      </c>
      <c r="L52" s="22" t="s">
        <v>10</v>
      </c>
      <c r="M52" t="s">
        <v>10</v>
      </c>
    </row>
    <row r="53" spans="1:13" x14ac:dyDescent="0.25">
      <c r="A53" t="s">
        <v>127</v>
      </c>
      <c r="B53" s="16" t="s">
        <v>16</v>
      </c>
      <c r="C53" t="s">
        <v>9</v>
      </c>
      <c r="D53" t="str">
        <f t="shared" si="1"/>
        <v>VENUS-Leo-Taurus</v>
      </c>
      <c r="E53" s="17" t="s">
        <v>99</v>
      </c>
      <c r="F53" s="18" t="s">
        <v>14</v>
      </c>
      <c r="G53" s="19" t="s">
        <v>16</v>
      </c>
      <c r="H53" s="20" t="s">
        <v>98</v>
      </c>
      <c r="I53" s="18" t="s">
        <v>7</v>
      </c>
      <c r="J53" t="s">
        <v>9</v>
      </c>
      <c r="K53" s="17" t="s">
        <v>108</v>
      </c>
      <c r="L53" s="22" t="s">
        <v>18</v>
      </c>
      <c r="M53" t="s">
        <v>10</v>
      </c>
    </row>
    <row r="54" spans="1:13" x14ac:dyDescent="0.25">
      <c r="A54" t="s">
        <v>127</v>
      </c>
      <c r="B54" s="16" t="s">
        <v>16</v>
      </c>
      <c r="C54" t="s">
        <v>12</v>
      </c>
      <c r="D54" t="str">
        <f t="shared" si="1"/>
        <v>VENUS-Leo-Gemini</v>
      </c>
      <c r="E54" s="17" t="s">
        <v>101</v>
      </c>
      <c r="F54" s="18" t="s">
        <v>12</v>
      </c>
      <c r="G54" s="19" t="s">
        <v>16</v>
      </c>
      <c r="H54" s="20" t="s">
        <v>100</v>
      </c>
      <c r="I54" s="18" t="s">
        <v>29</v>
      </c>
      <c r="J54" t="s">
        <v>9</v>
      </c>
      <c r="K54" s="17" t="s">
        <v>109</v>
      </c>
      <c r="L54" s="22" t="s">
        <v>16</v>
      </c>
      <c r="M54" t="s">
        <v>10</v>
      </c>
    </row>
    <row r="55" spans="1:13" x14ac:dyDescent="0.25">
      <c r="A55" t="s">
        <v>127</v>
      </c>
      <c r="B55" s="16" t="s">
        <v>16</v>
      </c>
      <c r="C55" t="s">
        <v>14</v>
      </c>
      <c r="D55" t="str">
        <f t="shared" si="1"/>
        <v>VENUS-Leo-Cancer</v>
      </c>
      <c r="E55" s="17" t="s">
        <v>103</v>
      </c>
      <c r="F55" s="18" t="s">
        <v>9</v>
      </c>
      <c r="G55" s="19" t="s">
        <v>16</v>
      </c>
      <c r="H55" s="20" t="s">
        <v>102</v>
      </c>
      <c r="I55" s="18" t="s">
        <v>27</v>
      </c>
      <c r="J55" t="s">
        <v>9</v>
      </c>
      <c r="K55" s="17" t="s">
        <v>99</v>
      </c>
      <c r="L55" s="22" t="s">
        <v>14</v>
      </c>
      <c r="M55" t="s">
        <v>10</v>
      </c>
    </row>
    <row r="56" spans="1:13" x14ac:dyDescent="0.25">
      <c r="A56" t="s">
        <v>127</v>
      </c>
      <c r="B56" s="16" t="s">
        <v>16</v>
      </c>
      <c r="C56" t="s">
        <v>16</v>
      </c>
      <c r="D56" t="str">
        <f t="shared" si="1"/>
        <v>VENUS-Leo-Leo</v>
      </c>
      <c r="E56" s="17" t="s">
        <v>98</v>
      </c>
      <c r="F56" s="18" t="s">
        <v>7</v>
      </c>
      <c r="G56" s="19" t="s">
        <v>16</v>
      </c>
      <c r="H56" s="20" t="s">
        <v>104</v>
      </c>
      <c r="I56" s="18" t="s">
        <v>25</v>
      </c>
      <c r="J56" t="s">
        <v>9</v>
      </c>
      <c r="K56" s="17" t="s">
        <v>101</v>
      </c>
      <c r="L56" s="22" t="s">
        <v>12</v>
      </c>
      <c r="M56" t="s">
        <v>10</v>
      </c>
    </row>
    <row r="57" spans="1:13" x14ac:dyDescent="0.25">
      <c r="A57" t="s">
        <v>127</v>
      </c>
      <c r="B57" s="16" t="s">
        <v>16</v>
      </c>
      <c r="C57" t="s">
        <v>18</v>
      </c>
      <c r="D57" t="str">
        <f t="shared" si="1"/>
        <v>VENUS-Leo-Virgo</v>
      </c>
      <c r="E57" s="17" t="s">
        <v>100</v>
      </c>
      <c r="F57" s="18" t="s">
        <v>29</v>
      </c>
      <c r="G57" s="19" t="s">
        <v>16</v>
      </c>
      <c r="H57" s="20" t="s">
        <v>105</v>
      </c>
      <c r="I57" s="18" t="s">
        <v>23</v>
      </c>
      <c r="J57" t="s">
        <v>9</v>
      </c>
      <c r="K57" s="17" t="s">
        <v>103</v>
      </c>
      <c r="L57" s="18" t="s">
        <v>9</v>
      </c>
      <c r="M57" t="s">
        <v>10</v>
      </c>
    </row>
    <row r="58" spans="1:13" x14ac:dyDescent="0.25">
      <c r="A58" t="s">
        <v>127</v>
      </c>
      <c r="B58" s="16" t="s">
        <v>16</v>
      </c>
      <c r="C58" t="s">
        <v>10</v>
      </c>
      <c r="D58" t="str">
        <f t="shared" si="1"/>
        <v>VENUS-Leo-Libra</v>
      </c>
      <c r="E58" s="17" t="s">
        <v>102</v>
      </c>
      <c r="F58" s="18" t="s">
        <v>27</v>
      </c>
      <c r="G58" s="19" t="s">
        <v>16</v>
      </c>
      <c r="H58" s="20" t="s">
        <v>106</v>
      </c>
      <c r="I58" s="18" t="s">
        <v>21</v>
      </c>
      <c r="J58" t="s">
        <v>9</v>
      </c>
      <c r="K58" s="17" t="s">
        <v>98</v>
      </c>
      <c r="L58" s="18" t="s">
        <v>7</v>
      </c>
      <c r="M58" t="s">
        <v>10</v>
      </c>
    </row>
    <row r="59" spans="1:13" x14ac:dyDescent="0.25">
      <c r="A59" t="s">
        <v>127</v>
      </c>
      <c r="B59" s="16" t="s">
        <v>16</v>
      </c>
      <c r="C59" t="s">
        <v>21</v>
      </c>
      <c r="D59" t="str">
        <f t="shared" si="1"/>
        <v>VENUS-Leo-Scorpio</v>
      </c>
      <c r="E59" s="17" t="s">
        <v>104</v>
      </c>
      <c r="F59" s="18" t="s">
        <v>25</v>
      </c>
      <c r="G59" s="19" t="s">
        <v>16</v>
      </c>
      <c r="H59" s="20" t="s">
        <v>107</v>
      </c>
      <c r="I59" s="18" t="s">
        <v>10</v>
      </c>
      <c r="J59" t="s">
        <v>9</v>
      </c>
      <c r="K59" s="17" t="s">
        <v>100</v>
      </c>
      <c r="L59" s="18" t="s">
        <v>29</v>
      </c>
      <c r="M59" t="s">
        <v>10</v>
      </c>
    </row>
    <row r="60" spans="1:13" x14ac:dyDescent="0.25">
      <c r="A60" t="s">
        <v>127</v>
      </c>
      <c r="B60" s="16" t="s">
        <v>16</v>
      </c>
      <c r="C60" t="s">
        <v>23</v>
      </c>
      <c r="D60" t="str">
        <f t="shared" si="1"/>
        <v>VENUS-Leo-Sagittarius</v>
      </c>
      <c r="E60" s="17" t="s">
        <v>105</v>
      </c>
      <c r="F60" s="18" t="s">
        <v>23</v>
      </c>
      <c r="G60" s="19" t="s">
        <v>16</v>
      </c>
      <c r="H60" s="20" t="s">
        <v>108</v>
      </c>
      <c r="I60" s="18" t="s">
        <v>18</v>
      </c>
      <c r="J60" t="s">
        <v>9</v>
      </c>
      <c r="K60" s="17" t="s">
        <v>102</v>
      </c>
      <c r="L60" s="18" t="s">
        <v>27</v>
      </c>
      <c r="M60" t="s">
        <v>10</v>
      </c>
    </row>
    <row r="61" spans="1:13" x14ac:dyDescent="0.25">
      <c r="A61" t="s">
        <v>127</v>
      </c>
      <c r="B61" s="16" t="s">
        <v>16</v>
      </c>
      <c r="C61" t="s">
        <v>25</v>
      </c>
      <c r="D61" t="str">
        <f t="shared" si="1"/>
        <v>VENUS-Leo-Capricorn</v>
      </c>
      <c r="E61" s="17" t="s">
        <v>106</v>
      </c>
      <c r="F61" s="18" t="s">
        <v>21</v>
      </c>
      <c r="G61" s="19" t="s">
        <v>16</v>
      </c>
      <c r="H61" s="20" t="s">
        <v>109</v>
      </c>
      <c r="I61" s="18" t="s">
        <v>16</v>
      </c>
      <c r="J61" t="s">
        <v>9</v>
      </c>
      <c r="K61" s="17" t="s">
        <v>104</v>
      </c>
      <c r="L61" s="18" t="s">
        <v>25</v>
      </c>
      <c r="M61" t="s">
        <v>10</v>
      </c>
    </row>
    <row r="62" spans="1:13" x14ac:dyDescent="0.25">
      <c r="A62" t="s">
        <v>127</v>
      </c>
      <c r="B62" s="16" t="s">
        <v>16</v>
      </c>
      <c r="C62" t="s">
        <v>27</v>
      </c>
      <c r="D62" t="str">
        <f t="shared" si="1"/>
        <v>VENUS-Leo-Aquarius</v>
      </c>
      <c r="E62" s="17" t="s">
        <v>107</v>
      </c>
      <c r="F62" s="18" t="s">
        <v>10</v>
      </c>
      <c r="G62" s="19" t="s">
        <v>16</v>
      </c>
      <c r="H62" s="20" t="s">
        <v>99</v>
      </c>
      <c r="I62" s="18" t="s">
        <v>14</v>
      </c>
      <c r="J62" t="s">
        <v>9</v>
      </c>
      <c r="K62" s="17" t="s">
        <v>105</v>
      </c>
      <c r="L62" s="18" t="s">
        <v>23</v>
      </c>
      <c r="M62" t="s">
        <v>10</v>
      </c>
    </row>
    <row r="63" spans="1:13" x14ac:dyDescent="0.25">
      <c r="A63" t="s">
        <v>127</v>
      </c>
      <c r="B63" s="16" t="s">
        <v>16</v>
      </c>
      <c r="C63" t="s">
        <v>29</v>
      </c>
      <c r="D63" t="str">
        <f t="shared" si="1"/>
        <v>VENUS-Leo-Pisces</v>
      </c>
      <c r="E63" s="17" t="s">
        <v>108</v>
      </c>
      <c r="F63" s="18" t="s">
        <v>18</v>
      </c>
      <c r="G63" s="19" t="s">
        <v>16</v>
      </c>
      <c r="H63" s="20" t="s">
        <v>101</v>
      </c>
      <c r="I63" s="18" t="s">
        <v>12</v>
      </c>
      <c r="J63" t="s">
        <v>9</v>
      </c>
      <c r="K63" s="17" t="s">
        <v>106</v>
      </c>
      <c r="L63" s="18" t="s">
        <v>21</v>
      </c>
      <c r="M63" t="s">
        <v>10</v>
      </c>
    </row>
    <row r="64" spans="1:13" x14ac:dyDescent="0.25">
      <c r="A64" t="s">
        <v>127</v>
      </c>
      <c r="B64" s="16" t="s">
        <v>18</v>
      </c>
      <c r="C64" t="s">
        <v>7</v>
      </c>
      <c r="D64" t="str">
        <f t="shared" si="1"/>
        <v>VENUS-Virgo-Aries</v>
      </c>
      <c r="E64" s="17" t="s">
        <v>108</v>
      </c>
      <c r="F64" s="18" t="s">
        <v>18</v>
      </c>
      <c r="G64" s="19" t="s">
        <v>18</v>
      </c>
      <c r="H64" s="20" t="s">
        <v>103</v>
      </c>
      <c r="I64" s="18" t="s">
        <v>9</v>
      </c>
      <c r="J64" t="s">
        <v>9</v>
      </c>
      <c r="K64" s="17" t="s">
        <v>107</v>
      </c>
      <c r="L64" s="22" t="s">
        <v>10</v>
      </c>
      <c r="M64" t="s">
        <v>10</v>
      </c>
    </row>
    <row r="65" spans="1:13" x14ac:dyDescent="0.25">
      <c r="A65" t="s">
        <v>127</v>
      </c>
      <c r="B65" s="16" t="s">
        <v>18</v>
      </c>
      <c r="C65" t="s">
        <v>9</v>
      </c>
      <c r="D65" t="str">
        <f t="shared" si="1"/>
        <v>VENUS-Virgo-Taurus</v>
      </c>
      <c r="E65" s="17" t="s">
        <v>109</v>
      </c>
      <c r="F65" s="18" t="s">
        <v>16</v>
      </c>
      <c r="G65" s="19" t="s">
        <v>18</v>
      </c>
      <c r="H65" s="20" t="s">
        <v>98</v>
      </c>
      <c r="I65" s="18" t="s">
        <v>7</v>
      </c>
      <c r="J65" t="s">
        <v>9</v>
      </c>
      <c r="K65" s="17" t="s">
        <v>108</v>
      </c>
      <c r="L65" s="22" t="s">
        <v>18</v>
      </c>
      <c r="M65" t="s">
        <v>10</v>
      </c>
    </row>
    <row r="66" spans="1:13" x14ac:dyDescent="0.25">
      <c r="A66" t="s">
        <v>127</v>
      </c>
      <c r="B66" s="16" t="s">
        <v>18</v>
      </c>
      <c r="C66" t="s">
        <v>12</v>
      </c>
      <c r="D66" t="str">
        <f t="shared" si="1"/>
        <v>VENUS-Virgo-Gemini</v>
      </c>
      <c r="E66" s="17" t="s">
        <v>99</v>
      </c>
      <c r="F66" s="18" t="s">
        <v>14</v>
      </c>
      <c r="G66" s="19" t="s">
        <v>18</v>
      </c>
      <c r="H66" s="20" t="s">
        <v>100</v>
      </c>
      <c r="I66" s="18" t="s">
        <v>29</v>
      </c>
      <c r="J66" t="s">
        <v>9</v>
      </c>
      <c r="K66" s="17" t="s">
        <v>109</v>
      </c>
      <c r="L66" s="22" t="s">
        <v>16</v>
      </c>
      <c r="M66" t="s">
        <v>10</v>
      </c>
    </row>
    <row r="67" spans="1:13" x14ac:dyDescent="0.25">
      <c r="A67" t="s">
        <v>127</v>
      </c>
      <c r="B67" s="16" t="s">
        <v>18</v>
      </c>
      <c r="C67" t="s">
        <v>14</v>
      </c>
      <c r="D67" t="str">
        <f t="shared" si="1"/>
        <v>VENUS-Virgo-Cancer</v>
      </c>
      <c r="E67" s="17" t="s">
        <v>101</v>
      </c>
      <c r="F67" s="18" t="s">
        <v>12</v>
      </c>
      <c r="G67" s="19" t="s">
        <v>18</v>
      </c>
      <c r="H67" s="20" t="s">
        <v>102</v>
      </c>
      <c r="I67" s="18" t="s">
        <v>27</v>
      </c>
      <c r="J67" t="s">
        <v>9</v>
      </c>
      <c r="K67" s="17" t="s">
        <v>99</v>
      </c>
      <c r="L67" s="22" t="s">
        <v>14</v>
      </c>
      <c r="M67" t="s">
        <v>10</v>
      </c>
    </row>
    <row r="68" spans="1:13" x14ac:dyDescent="0.25">
      <c r="A68" t="s">
        <v>127</v>
      </c>
      <c r="B68" s="16" t="s">
        <v>18</v>
      </c>
      <c r="C68" t="s">
        <v>16</v>
      </c>
      <c r="D68" t="str">
        <f t="shared" ref="D68:D99" si="2">A68&amp;"-"&amp;B68&amp;"-"&amp;C68</f>
        <v>VENUS-Virgo-Leo</v>
      </c>
      <c r="E68" s="17" t="s">
        <v>103</v>
      </c>
      <c r="F68" s="18" t="s">
        <v>9</v>
      </c>
      <c r="G68" s="19" t="s">
        <v>18</v>
      </c>
      <c r="H68" s="20" t="s">
        <v>104</v>
      </c>
      <c r="I68" s="18" t="s">
        <v>25</v>
      </c>
      <c r="J68" t="s">
        <v>9</v>
      </c>
      <c r="K68" s="17" t="s">
        <v>101</v>
      </c>
      <c r="L68" s="22" t="s">
        <v>12</v>
      </c>
      <c r="M68" t="s">
        <v>10</v>
      </c>
    </row>
    <row r="69" spans="1:13" x14ac:dyDescent="0.25">
      <c r="A69" t="s">
        <v>127</v>
      </c>
      <c r="B69" s="16" t="s">
        <v>18</v>
      </c>
      <c r="C69" t="s">
        <v>18</v>
      </c>
      <c r="D69" t="str">
        <f t="shared" si="2"/>
        <v>VENUS-Virgo-Virgo</v>
      </c>
      <c r="E69" s="17" t="s">
        <v>98</v>
      </c>
      <c r="F69" s="18" t="s">
        <v>7</v>
      </c>
      <c r="G69" s="19" t="s">
        <v>18</v>
      </c>
      <c r="H69" s="20" t="s">
        <v>105</v>
      </c>
      <c r="I69" s="18" t="s">
        <v>23</v>
      </c>
      <c r="J69" t="s">
        <v>9</v>
      </c>
      <c r="K69" s="17" t="s">
        <v>103</v>
      </c>
      <c r="L69" s="18" t="s">
        <v>9</v>
      </c>
      <c r="M69" t="s">
        <v>10</v>
      </c>
    </row>
    <row r="70" spans="1:13" x14ac:dyDescent="0.25">
      <c r="A70" t="s">
        <v>127</v>
      </c>
      <c r="B70" s="16" t="s">
        <v>18</v>
      </c>
      <c r="C70" t="s">
        <v>10</v>
      </c>
      <c r="D70" t="str">
        <f t="shared" si="2"/>
        <v>VENUS-Virgo-Libra</v>
      </c>
      <c r="E70" s="17" t="s">
        <v>100</v>
      </c>
      <c r="F70" s="18" t="s">
        <v>29</v>
      </c>
      <c r="G70" s="19" t="s">
        <v>18</v>
      </c>
      <c r="H70" s="20" t="s">
        <v>106</v>
      </c>
      <c r="I70" s="18" t="s">
        <v>21</v>
      </c>
      <c r="J70" t="s">
        <v>9</v>
      </c>
      <c r="K70" s="17" t="s">
        <v>98</v>
      </c>
      <c r="L70" s="18" t="s">
        <v>7</v>
      </c>
      <c r="M70" t="s">
        <v>10</v>
      </c>
    </row>
    <row r="71" spans="1:13" x14ac:dyDescent="0.25">
      <c r="A71" t="s">
        <v>127</v>
      </c>
      <c r="B71" s="16" t="s">
        <v>18</v>
      </c>
      <c r="C71" t="s">
        <v>21</v>
      </c>
      <c r="D71" t="str">
        <f t="shared" si="2"/>
        <v>VENUS-Virgo-Scorpio</v>
      </c>
      <c r="E71" s="17" t="s">
        <v>102</v>
      </c>
      <c r="F71" s="18" t="s">
        <v>27</v>
      </c>
      <c r="G71" s="19" t="s">
        <v>18</v>
      </c>
      <c r="H71" s="20" t="s">
        <v>107</v>
      </c>
      <c r="I71" s="18" t="s">
        <v>10</v>
      </c>
      <c r="J71" t="s">
        <v>9</v>
      </c>
      <c r="K71" s="17" t="s">
        <v>100</v>
      </c>
      <c r="L71" s="18" t="s">
        <v>29</v>
      </c>
      <c r="M71" t="s">
        <v>10</v>
      </c>
    </row>
    <row r="72" spans="1:13" x14ac:dyDescent="0.25">
      <c r="A72" t="s">
        <v>127</v>
      </c>
      <c r="B72" s="16" t="s">
        <v>18</v>
      </c>
      <c r="C72" t="s">
        <v>23</v>
      </c>
      <c r="D72" t="str">
        <f t="shared" si="2"/>
        <v>VENUS-Virgo-Sagittarius</v>
      </c>
      <c r="E72" s="17" t="s">
        <v>104</v>
      </c>
      <c r="F72" s="18" t="s">
        <v>25</v>
      </c>
      <c r="G72" s="19" t="s">
        <v>18</v>
      </c>
      <c r="H72" s="20" t="s">
        <v>108</v>
      </c>
      <c r="I72" s="18" t="s">
        <v>18</v>
      </c>
      <c r="J72" t="s">
        <v>9</v>
      </c>
      <c r="K72" s="17" t="s">
        <v>102</v>
      </c>
      <c r="L72" s="18" t="s">
        <v>27</v>
      </c>
      <c r="M72" t="s">
        <v>10</v>
      </c>
    </row>
    <row r="73" spans="1:13" x14ac:dyDescent="0.25">
      <c r="A73" t="s">
        <v>127</v>
      </c>
      <c r="B73" s="16" t="s">
        <v>18</v>
      </c>
      <c r="C73" t="s">
        <v>25</v>
      </c>
      <c r="D73" t="str">
        <f t="shared" si="2"/>
        <v>VENUS-Virgo-Capricorn</v>
      </c>
      <c r="E73" s="17" t="s">
        <v>105</v>
      </c>
      <c r="F73" s="18" t="s">
        <v>23</v>
      </c>
      <c r="G73" s="19" t="s">
        <v>18</v>
      </c>
      <c r="H73" s="20" t="s">
        <v>109</v>
      </c>
      <c r="I73" s="18" t="s">
        <v>16</v>
      </c>
      <c r="J73" t="s">
        <v>9</v>
      </c>
      <c r="K73" s="17" t="s">
        <v>104</v>
      </c>
      <c r="L73" s="18" t="s">
        <v>25</v>
      </c>
      <c r="M73" t="s">
        <v>10</v>
      </c>
    </row>
    <row r="74" spans="1:13" x14ac:dyDescent="0.25">
      <c r="A74" t="s">
        <v>127</v>
      </c>
      <c r="B74" s="16" t="s">
        <v>18</v>
      </c>
      <c r="C74" t="s">
        <v>27</v>
      </c>
      <c r="D74" t="str">
        <f t="shared" si="2"/>
        <v>VENUS-Virgo-Aquarius</v>
      </c>
      <c r="E74" s="17" t="s">
        <v>106</v>
      </c>
      <c r="F74" s="18" t="s">
        <v>21</v>
      </c>
      <c r="G74" s="19" t="s">
        <v>18</v>
      </c>
      <c r="H74" s="20" t="s">
        <v>99</v>
      </c>
      <c r="I74" s="18" t="s">
        <v>14</v>
      </c>
      <c r="J74" t="s">
        <v>9</v>
      </c>
      <c r="K74" s="17" t="s">
        <v>105</v>
      </c>
      <c r="L74" s="18" t="s">
        <v>23</v>
      </c>
      <c r="M74" t="s">
        <v>10</v>
      </c>
    </row>
    <row r="75" spans="1:13" x14ac:dyDescent="0.25">
      <c r="A75" t="s">
        <v>127</v>
      </c>
      <c r="B75" s="16" t="s">
        <v>18</v>
      </c>
      <c r="C75" t="s">
        <v>29</v>
      </c>
      <c r="D75" t="str">
        <f t="shared" si="2"/>
        <v>VENUS-Virgo-Pisces</v>
      </c>
      <c r="E75" s="17" t="s">
        <v>107</v>
      </c>
      <c r="F75" s="18" t="s">
        <v>10</v>
      </c>
      <c r="G75" s="19" t="s">
        <v>18</v>
      </c>
      <c r="H75" s="20" t="s">
        <v>101</v>
      </c>
      <c r="I75" s="18" t="s">
        <v>12</v>
      </c>
      <c r="J75" t="s">
        <v>9</v>
      </c>
      <c r="K75" s="17" t="s">
        <v>106</v>
      </c>
      <c r="L75" s="18" t="s">
        <v>21</v>
      </c>
      <c r="M75" t="s">
        <v>10</v>
      </c>
    </row>
    <row r="76" spans="1:13" x14ac:dyDescent="0.25">
      <c r="A76" t="s">
        <v>127</v>
      </c>
      <c r="B76" s="16" t="s">
        <v>10</v>
      </c>
      <c r="C76" t="s">
        <v>7</v>
      </c>
      <c r="D76" t="str">
        <f t="shared" si="2"/>
        <v>VENUS-Libra-Aries</v>
      </c>
      <c r="E76" s="17" t="s">
        <v>107</v>
      </c>
      <c r="F76" s="18" t="s">
        <v>10</v>
      </c>
      <c r="G76" s="19" t="s">
        <v>10</v>
      </c>
      <c r="H76" s="20" t="s">
        <v>103</v>
      </c>
      <c r="I76" s="18" t="s">
        <v>9</v>
      </c>
      <c r="J76" t="s">
        <v>9</v>
      </c>
      <c r="K76" s="17" t="s">
        <v>107</v>
      </c>
      <c r="L76" s="22" t="s">
        <v>10</v>
      </c>
      <c r="M76" t="s">
        <v>10</v>
      </c>
    </row>
    <row r="77" spans="1:13" x14ac:dyDescent="0.25">
      <c r="A77" t="s">
        <v>127</v>
      </c>
      <c r="B77" s="16" t="s">
        <v>10</v>
      </c>
      <c r="C77" t="s">
        <v>9</v>
      </c>
      <c r="D77" t="str">
        <f t="shared" si="2"/>
        <v>VENUS-Libra-Taurus</v>
      </c>
      <c r="E77" s="17" t="s">
        <v>108</v>
      </c>
      <c r="F77" s="18" t="s">
        <v>18</v>
      </c>
      <c r="G77" s="19" t="s">
        <v>10</v>
      </c>
      <c r="H77" s="20" t="s">
        <v>98</v>
      </c>
      <c r="I77" s="18" t="s">
        <v>7</v>
      </c>
      <c r="J77" t="s">
        <v>9</v>
      </c>
      <c r="K77" s="17" t="s">
        <v>108</v>
      </c>
      <c r="L77" s="22" t="s">
        <v>18</v>
      </c>
      <c r="M77" t="s">
        <v>10</v>
      </c>
    </row>
    <row r="78" spans="1:13" x14ac:dyDescent="0.25">
      <c r="A78" t="s">
        <v>127</v>
      </c>
      <c r="B78" s="16" t="s">
        <v>10</v>
      </c>
      <c r="C78" t="s">
        <v>12</v>
      </c>
      <c r="D78" t="str">
        <f t="shared" si="2"/>
        <v>VENUS-Libra-Gemini</v>
      </c>
      <c r="E78" s="17" t="s">
        <v>109</v>
      </c>
      <c r="F78" s="18" t="s">
        <v>16</v>
      </c>
      <c r="G78" s="19" t="s">
        <v>10</v>
      </c>
      <c r="H78" s="20" t="s">
        <v>100</v>
      </c>
      <c r="I78" s="18" t="s">
        <v>29</v>
      </c>
      <c r="J78" t="s">
        <v>9</v>
      </c>
      <c r="K78" s="17" t="s">
        <v>109</v>
      </c>
      <c r="L78" s="22" t="s">
        <v>16</v>
      </c>
      <c r="M78" t="s">
        <v>10</v>
      </c>
    </row>
    <row r="79" spans="1:13" x14ac:dyDescent="0.25">
      <c r="A79" t="s">
        <v>127</v>
      </c>
      <c r="B79" s="16" t="s">
        <v>10</v>
      </c>
      <c r="C79" t="s">
        <v>14</v>
      </c>
      <c r="D79" t="str">
        <f t="shared" si="2"/>
        <v>VENUS-Libra-Cancer</v>
      </c>
      <c r="E79" s="17" t="s">
        <v>99</v>
      </c>
      <c r="F79" s="18" t="s">
        <v>14</v>
      </c>
      <c r="G79" s="19" t="s">
        <v>10</v>
      </c>
      <c r="H79" s="20" t="s">
        <v>102</v>
      </c>
      <c r="I79" s="18" t="s">
        <v>27</v>
      </c>
      <c r="J79" t="s">
        <v>9</v>
      </c>
      <c r="K79" s="17" t="s">
        <v>99</v>
      </c>
      <c r="L79" s="22" t="s">
        <v>14</v>
      </c>
      <c r="M79" t="s">
        <v>10</v>
      </c>
    </row>
    <row r="80" spans="1:13" x14ac:dyDescent="0.25">
      <c r="A80" t="s">
        <v>127</v>
      </c>
      <c r="B80" s="16" t="s">
        <v>10</v>
      </c>
      <c r="C80" t="s">
        <v>16</v>
      </c>
      <c r="D80" t="str">
        <f t="shared" si="2"/>
        <v>VENUS-Libra-Leo</v>
      </c>
      <c r="E80" s="17" t="s">
        <v>101</v>
      </c>
      <c r="F80" s="18" t="s">
        <v>12</v>
      </c>
      <c r="G80" s="19" t="s">
        <v>10</v>
      </c>
      <c r="H80" s="20" t="s">
        <v>104</v>
      </c>
      <c r="I80" s="18" t="s">
        <v>25</v>
      </c>
      <c r="J80" t="s">
        <v>9</v>
      </c>
      <c r="K80" s="17" t="s">
        <v>101</v>
      </c>
      <c r="L80" s="22" t="s">
        <v>12</v>
      </c>
      <c r="M80" t="s">
        <v>10</v>
      </c>
    </row>
    <row r="81" spans="1:13" x14ac:dyDescent="0.25">
      <c r="A81" t="s">
        <v>127</v>
      </c>
      <c r="B81" s="16" t="s">
        <v>10</v>
      </c>
      <c r="C81" t="s">
        <v>18</v>
      </c>
      <c r="D81" t="str">
        <f t="shared" si="2"/>
        <v>VENUS-Libra-Virgo</v>
      </c>
      <c r="E81" s="17" t="s">
        <v>103</v>
      </c>
      <c r="F81" s="18" t="s">
        <v>9</v>
      </c>
      <c r="G81" s="19" t="s">
        <v>10</v>
      </c>
      <c r="H81" s="20" t="s">
        <v>105</v>
      </c>
      <c r="I81" s="18" t="s">
        <v>23</v>
      </c>
      <c r="J81" t="s">
        <v>9</v>
      </c>
      <c r="K81" s="17" t="s">
        <v>103</v>
      </c>
      <c r="L81" s="18" t="s">
        <v>9</v>
      </c>
      <c r="M81" t="s">
        <v>10</v>
      </c>
    </row>
    <row r="82" spans="1:13" x14ac:dyDescent="0.25">
      <c r="A82" t="s">
        <v>127</v>
      </c>
      <c r="B82" s="16" t="s">
        <v>10</v>
      </c>
      <c r="C82" t="s">
        <v>10</v>
      </c>
      <c r="D82" t="str">
        <f t="shared" si="2"/>
        <v>VENUS-Libra-Libra</v>
      </c>
      <c r="E82" s="17" t="s">
        <v>98</v>
      </c>
      <c r="F82" s="18" t="s">
        <v>7</v>
      </c>
      <c r="G82" s="19" t="s">
        <v>10</v>
      </c>
      <c r="H82" s="20" t="s">
        <v>106</v>
      </c>
      <c r="I82" s="18" t="s">
        <v>21</v>
      </c>
      <c r="J82" t="s">
        <v>9</v>
      </c>
      <c r="K82" s="17" t="s">
        <v>98</v>
      </c>
      <c r="L82" s="18" t="s">
        <v>7</v>
      </c>
      <c r="M82" t="s">
        <v>10</v>
      </c>
    </row>
    <row r="83" spans="1:13" x14ac:dyDescent="0.25">
      <c r="A83" t="s">
        <v>127</v>
      </c>
      <c r="B83" s="16" t="s">
        <v>10</v>
      </c>
      <c r="C83" t="s">
        <v>21</v>
      </c>
      <c r="D83" t="str">
        <f t="shared" si="2"/>
        <v>VENUS-Libra-Scorpio</v>
      </c>
      <c r="E83" s="17" t="s">
        <v>100</v>
      </c>
      <c r="F83" s="18" t="s">
        <v>29</v>
      </c>
      <c r="G83" s="19" t="s">
        <v>10</v>
      </c>
      <c r="H83" s="20" t="s">
        <v>107</v>
      </c>
      <c r="I83" s="18" t="s">
        <v>10</v>
      </c>
      <c r="J83" t="s">
        <v>9</v>
      </c>
      <c r="K83" s="17" t="s">
        <v>100</v>
      </c>
      <c r="L83" s="18" t="s">
        <v>29</v>
      </c>
      <c r="M83" t="s">
        <v>10</v>
      </c>
    </row>
    <row r="84" spans="1:13" x14ac:dyDescent="0.25">
      <c r="A84" t="s">
        <v>127</v>
      </c>
      <c r="B84" s="16" t="s">
        <v>10</v>
      </c>
      <c r="C84" t="s">
        <v>23</v>
      </c>
      <c r="D84" t="str">
        <f t="shared" si="2"/>
        <v>VENUS-Libra-Sagittarius</v>
      </c>
      <c r="E84" s="17" t="s">
        <v>102</v>
      </c>
      <c r="F84" s="18" t="s">
        <v>27</v>
      </c>
      <c r="G84" s="19" t="s">
        <v>10</v>
      </c>
      <c r="H84" s="20" t="s">
        <v>108</v>
      </c>
      <c r="I84" s="18" t="s">
        <v>18</v>
      </c>
      <c r="J84" t="s">
        <v>9</v>
      </c>
      <c r="K84" s="17" t="s">
        <v>102</v>
      </c>
      <c r="L84" s="18" t="s">
        <v>27</v>
      </c>
      <c r="M84" t="s">
        <v>10</v>
      </c>
    </row>
    <row r="85" spans="1:13" x14ac:dyDescent="0.25">
      <c r="A85" t="s">
        <v>127</v>
      </c>
      <c r="B85" s="16" t="s">
        <v>10</v>
      </c>
      <c r="C85" t="s">
        <v>25</v>
      </c>
      <c r="D85" t="str">
        <f t="shared" si="2"/>
        <v>VENUS-Libra-Capricorn</v>
      </c>
      <c r="E85" s="17" t="s">
        <v>104</v>
      </c>
      <c r="F85" s="18" t="s">
        <v>25</v>
      </c>
      <c r="G85" s="19" t="s">
        <v>10</v>
      </c>
      <c r="H85" s="20" t="s">
        <v>109</v>
      </c>
      <c r="I85" s="18" t="s">
        <v>16</v>
      </c>
      <c r="J85" t="s">
        <v>9</v>
      </c>
      <c r="K85" s="17" t="s">
        <v>104</v>
      </c>
      <c r="L85" s="18" t="s">
        <v>25</v>
      </c>
      <c r="M85" t="s">
        <v>10</v>
      </c>
    </row>
    <row r="86" spans="1:13" x14ac:dyDescent="0.25">
      <c r="A86" t="s">
        <v>127</v>
      </c>
      <c r="B86" s="16" t="s">
        <v>10</v>
      </c>
      <c r="C86" t="s">
        <v>27</v>
      </c>
      <c r="D86" t="str">
        <f t="shared" si="2"/>
        <v>VENUS-Libra-Aquarius</v>
      </c>
      <c r="E86" s="17" t="s">
        <v>105</v>
      </c>
      <c r="F86" s="18" t="s">
        <v>23</v>
      </c>
      <c r="G86" s="19" t="s">
        <v>10</v>
      </c>
      <c r="H86" s="20" t="s">
        <v>99</v>
      </c>
      <c r="I86" s="18" t="s">
        <v>14</v>
      </c>
      <c r="J86" t="s">
        <v>9</v>
      </c>
      <c r="K86" s="17" t="s">
        <v>105</v>
      </c>
      <c r="L86" s="18" t="s">
        <v>23</v>
      </c>
      <c r="M86" t="s">
        <v>10</v>
      </c>
    </row>
    <row r="87" spans="1:13" x14ac:dyDescent="0.25">
      <c r="A87" t="s">
        <v>127</v>
      </c>
      <c r="B87" s="16" t="s">
        <v>10</v>
      </c>
      <c r="C87" t="s">
        <v>29</v>
      </c>
      <c r="D87" t="str">
        <f t="shared" si="2"/>
        <v>VENUS-Libra-Pisces</v>
      </c>
      <c r="E87" s="17" t="s">
        <v>106</v>
      </c>
      <c r="F87" s="18" t="s">
        <v>21</v>
      </c>
      <c r="G87" s="19" t="s">
        <v>10</v>
      </c>
      <c r="H87" s="20" t="s">
        <v>101</v>
      </c>
      <c r="I87" s="18" t="s">
        <v>12</v>
      </c>
      <c r="J87" t="s">
        <v>9</v>
      </c>
      <c r="K87" s="17" t="s">
        <v>106</v>
      </c>
      <c r="L87" s="18" t="s">
        <v>21</v>
      </c>
      <c r="M87" t="s">
        <v>10</v>
      </c>
    </row>
    <row r="88" spans="1:13" x14ac:dyDescent="0.25">
      <c r="A88" t="s">
        <v>127</v>
      </c>
      <c r="B88" s="16" t="s">
        <v>21</v>
      </c>
      <c r="C88" t="s">
        <v>7</v>
      </c>
      <c r="D88" t="str">
        <f t="shared" si="2"/>
        <v>VENUS-Scorpio-Aries</v>
      </c>
      <c r="E88" s="17" t="s">
        <v>106</v>
      </c>
      <c r="F88" s="18" t="s">
        <v>21</v>
      </c>
      <c r="G88" s="19" t="s">
        <v>21</v>
      </c>
      <c r="H88" s="20" t="s">
        <v>103</v>
      </c>
      <c r="I88" s="18" t="s">
        <v>9</v>
      </c>
      <c r="J88" t="s">
        <v>9</v>
      </c>
      <c r="K88" s="17" t="s">
        <v>107</v>
      </c>
      <c r="L88" s="22" t="s">
        <v>10</v>
      </c>
      <c r="M88" t="s">
        <v>10</v>
      </c>
    </row>
    <row r="89" spans="1:13" x14ac:dyDescent="0.25">
      <c r="A89" t="s">
        <v>127</v>
      </c>
      <c r="B89" s="16" t="s">
        <v>21</v>
      </c>
      <c r="C89" t="s">
        <v>9</v>
      </c>
      <c r="D89" t="str">
        <f t="shared" si="2"/>
        <v>VENUS-Scorpio-Taurus</v>
      </c>
      <c r="E89" s="17" t="s">
        <v>107</v>
      </c>
      <c r="F89" s="18" t="s">
        <v>10</v>
      </c>
      <c r="G89" s="19" t="s">
        <v>21</v>
      </c>
      <c r="H89" s="20" t="s">
        <v>98</v>
      </c>
      <c r="I89" s="18" t="s">
        <v>7</v>
      </c>
      <c r="J89" t="s">
        <v>9</v>
      </c>
      <c r="K89" s="17" t="s">
        <v>108</v>
      </c>
      <c r="L89" s="22" t="s">
        <v>18</v>
      </c>
      <c r="M89" t="s">
        <v>10</v>
      </c>
    </row>
    <row r="90" spans="1:13" x14ac:dyDescent="0.25">
      <c r="A90" t="s">
        <v>127</v>
      </c>
      <c r="B90" s="16" t="s">
        <v>21</v>
      </c>
      <c r="C90" t="s">
        <v>12</v>
      </c>
      <c r="D90" t="str">
        <f t="shared" si="2"/>
        <v>VENUS-Scorpio-Gemini</v>
      </c>
      <c r="E90" s="17" t="s">
        <v>108</v>
      </c>
      <c r="F90" s="18" t="s">
        <v>18</v>
      </c>
      <c r="G90" s="19" t="s">
        <v>21</v>
      </c>
      <c r="H90" s="20" t="s">
        <v>100</v>
      </c>
      <c r="I90" s="18" t="s">
        <v>29</v>
      </c>
      <c r="J90" t="s">
        <v>9</v>
      </c>
      <c r="K90" s="17" t="s">
        <v>109</v>
      </c>
      <c r="L90" s="22" t="s">
        <v>16</v>
      </c>
      <c r="M90" t="s">
        <v>10</v>
      </c>
    </row>
    <row r="91" spans="1:13" x14ac:dyDescent="0.25">
      <c r="A91" t="s">
        <v>127</v>
      </c>
      <c r="B91" s="16" t="s">
        <v>21</v>
      </c>
      <c r="C91" t="s">
        <v>14</v>
      </c>
      <c r="D91" t="str">
        <f t="shared" si="2"/>
        <v>VENUS-Scorpio-Cancer</v>
      </c>
      <c r="E91" s="17" t="s">
        <v>109</v>
      </c>
      <c r="F91" s="18" t="s">
        <v>16</v>
      </c>
      <c r="G91" s="19" t="s">
        <v>21</v>
      </c>
      <c r="H91" s="20" t="s">
        <v>102</v>
      </c>
      <c r="I91" s="18" t="s">
        <v>27</v>
      </c>
      <c r="J91" t="s">
        <v>9</v>
      </c>
      <c r="K91" s="17" t="s">
        <v>99</v>
      </c>
      <c r="L91" s="22" t="s">
        <v>14</v>
      </c>
      <c r="M91" t="s">
        <v>10</v>
      </c>
    </row>
    <row r="92" spans="1:13" x14ac:dyDescent="0.25">
      <c r="A92" t="s">
        <v>127</v>
      </c>
      <c r="B92" s="16" t="s">
        <v>21</v>
      </c>
      <c r="C92" t="s">
        <v>16</v>
      </c>
      <c r="D92" t="str">
        <f t="shared" si="2"/>
        <v>VENUS-Scorpio-Leo</v>
      </c>
      <c r="E92" s="17" t="s">
        <v>99</v>
      </c>
      <c r="F92" s="18" t="s">
        <v>14</v>
      </c>
      <c r="G92" s="19" t="s">
        <v>21</v>
      </c>
      <c r="H92" s="20" t="s">
        <v>104</v>
      </c>
      <c r="I92" s="18" t="s">
        <v>25</v>
      </c>
      <c r="J92" t="s">
        <v>9</v>
      </c>
      <c r="K92" s="17" t="s">
        <v>101</v>
      </c>
      <c r="L92" s="22" t="s">
        <v>12</v>
      </c>
      <c r="M92" t="s">
        <v>10</v>
      </c>
    </row>
    <row r="93" spans="1:13" x14ac:dyDescent="0.25">
      <c r="A93" t="s">
        <v>127</v>
      </c>
      <c r="B93" s="16" t="s">
        <v>21</v>
      </c>
      <c r="C93" t="s">
        <v>18</v>
      </c>
      <c r="D93" t="str">
        <f t="shared" si="2"/>
        <v>VENUS-Scorpio-Virgo</v>
      </c>
      <c r="E93" s="17" t="s">
        <v>101</v>
      </c>
      <c r="F93" s="18" t="s">
        <v>12</v>
      </c>
      <c r="G93" s="19" t="s">
        <v>21</v>
      </c>
      <c r="H93" s="20" t="s">
        <v>105</v>
      </c>
      <c r="I93" s="18" t="s">
        <v>23</v>
      </c>
      <c r="J93" t="s">
        <v>9</v>
      </c>
      <c r="K93" s="17" t="s">
        <v>103</v>
      </c>
      <c r="L93" s="18" t="s">
        <v>9</v>
      </c>
      <c r="M93" t="s">
        <v>10</v>
      </c>
    </row>
    <row r="94" spans="1:13" x14ac:dyDescent="0.25">
      <c r="A94" t="s">
        <v>127</v>
      </c>
      <c r="B94" s="16" t="s">
        <v>21</v>
      </c>
      <c r="C94" t="s">
        <v>10</v>
      </c>
      <c r="D94" t="str">
        <f t="shared" si="2"/>
        <v>VENUS-Scorpio-Libra</v>
      </c>
      <c r="E94" s="17" t="s">
        <v>103</v>
      </c>
      <c r="F94" s="18" t="s">
        <v>9</v>
      </c>
      <c r="G94" s="19" t="s">
        <v>21</v>
      </c>
      <c r="H94" s="20" t="s">
        <v>106</v>
      </c>
      <c r="I94" s="18" t="s">
        <v>21</v>
      </c>
      <c r="J94" t="s">
        <v>9</v>
      </c>
      <c r="K94" s="17" t="s">
        <v>98</v>
      </c>
      <c r="L94" s="18" t="s">
        <v>7</v>
      </c>
      <c r="M94" t="s">
        <v>10</v>
      </c>
    </row>
    <row r="95" spans="1:13" x14ac:dyDescent="0.25">
      <c r="A95" t="s">
        <v>127</v>
      </c>
      <c r="B95" s="16" t="s">
        <v>21</v>
      </c>
      <c r="C95" t="s">
        <v>21</v>
      </c>
      <c r="D95" t="str">
        <f t="shared" si="2"/>
        <v>VENUS-Scorpio-Scorpio</v>
      </c>
      <c r="E95" s="17" t="s">
        <v>98</v>
      </c>
      <c r="F95" s="18" t="s">
        <v>7</v>
      </c>
      <c r="G95" s="19" t="s">
        <v>21</v>
      </c>
      <c r="H95" s="20" t="s">
        <v>107</v>
      </c>
      <c r="I95" s="18" t="s">
        <v>10</v>
      </c>
      <c r="J95" t="s">
        <v>9</v>
      </c>
      <c r="K95" s="17" t="s">
        <v>100</v>
      </c>
      <c r="L95" s="18" t="s">
        <v>29</v>
      </c>
      <c r="M95" t="s">
        <v>10</v>
      </c>
    </row>
    <row r="96" spans="1:13" x14ac:dyDescent="0.25">
      <c r="A96" t="s">
        <v>127</v>
      </c>
      <c r="B96" s="16" t="s">
        <v>21</v>
      </c>
      <c r="C96" t="s">
        <v>23</v>
      </c>
      <c r="D96" t="str">
        <f t="shared" si="2"/>
        <v>VENUS-Scorpio-Sagittarius</v>
      </c>
      <c r="E96" s="17" t="s">
        <v>100</v>
      </c>
      <c r="F96" s="18" t="s">
        <v>29</v>
      </c>
      <c r="G96" s="19" t="s">
        <v>21</v>
      </c>
      <c r="H96" s="20" t="s">
        <v>108</v>
      </c>
      <c r="I96" s="18" t="s">
        <v>18</v>
      </c>
      <c r="J96" t="s">
        <v>9</v>
      </c>
      <c r="K96" s="17" t="s">
        <v>102</v>
      </c>
      <c r="L96" s="18" t="s">
        <v>27</v>
      </c>
      <c r="M96" t="s">
        <v>10</v>
      </c>
    </row>
    <row r="97" spans="1:13" x14ac:dyDescent="0.25">
      <c r="A97" t="s">
        <v>127</v>
      </c>
      <c r="B97" s="16" t="s">
        <v>21</v>
      </c>
      <c r="C97" t="s">
        <v>25</v>
      </c>
      <c r="D97" t="str">
        <f t="shared" si="2"/>
        <v>VENUS-Scorpio-Capricorn</v>
      </c>
      <c r="E97" s="17" t="s">
        <v>102</v>
      </c>
      <c r="F97" s="18" t="s">
        <v>27</v>
      </c>
      <c r="G97" s="19" t="s">
        <v>21</v>
      </c>
      <c r="H97" s="20" t="s">
        <v>109</v>
      </c>
      <c r="I97" s="18" t="s">
        <v>16</v>
      </c>
      <c r="J97" t="s">
        <v>9</v>
      </c>
      <c r="K97" s="17" t="s">
        <v>104</v>
      </c>
      <c r="L97" s="18" t="s">
        <v>25</v>
      </c>
      <c r="M97" t="s">
        <v>10</v>
      </c>
    </row>
    <row r="98" spans="1:13" x14ac:dyDescent="0.25">
      <c r="A98" t="s">
        <v>127</v>
      </c>
      <c r="B98" s="16" t="s">
        <v>21</v>
      </c>
      <c r="C98" t="s">
        <v>27</v>
      </c>
      <c r="D98" t="str">
        <f t="shared" si="2"/>
        <v>VENUS-Scorpio-Aquarius</v>
      </c>
      <c r="E98" s="17" t="s">
        <v>104</v>
      </c>
      <c r="F98" s="18" t="s">
        <v>25</v>
      </c>
      <c r="G98" s="19" t="s">
        <v>21</v>
      </c>
      <c r="H98" s="20" t="s">
        <v>99</v>
      </c>
      <c r="I98" s="18" t="s">
        <v>14</v>
      </c>
      <c r="J98" t="s">
        <v>9</v>
      </c>
      <c r="K98" s="17" t="s">
        <v>105</v>
      </c>
      <c r="L98" s="18" t="s">
        <v>23</v>
      </c>
      <c r="M98" t="s">
        <v>10</v>
      </c>
    </row>
    <row r="99" spans="1:13" x14ac:dyDescent="0.25">
      <c r="A99" t="s">
        <v>127</v>
      </c>
      <c r="B99" s="16" t="s">
        <v>21</v>
      </c>
      <c r="C99" t="s">
        <v>29</v>
      </c>
      <c r="D99" t="str">
        <f t="shared" si="2"/>
        <v>VENUS-Scorpio-Pisces</v>
      </c>
      <c r="E99" s="17" t="s">
        <v>105</v>
      </c>
      <c r="F99" s="18" t="s">
        <v>23</v>
      </c>
      <c r="G99" s="19" t="s">
        <v>21</v>
      </c>
      <c r="H99" s="20" t="s">
        <v>101</v>
      </c>
      <c r="I99" s="18" t="s">
        <v>12</v>
      </c>
      <c r="J99" t="s">
        <v>9</v>
      </c>
      <c r="K99" s="17" t="s">
        <v>106</v>
      </c>
      <c r="L99" s="18" t="s">
        <v>21</v>
      </c>
      <c r="M99" t="s">
        <v>10</v>
      </c>
    </row>
    <row r="100" spans="1:13" x14ac:dyDescent="0.25">
      <c r="A100" t="s">
        <v>127</v>
      </c>
      <c r="B100" s="16" t="s">
        <v>23</v>
      </c>
      <c r="C100" t="s">
        <v>7</v>
      </c>
      <c r="D100" t="str">
        <f t="shared" ref="D100:D131" si="3">A100&amp;"-"&amp;B100&amp;"-"&amp;C100</f>
        <v>VENUS-Sagittarius-Aries</v>
      </c>
      <c r="E100" s="17" t="s">
        <v>105</v>
      </c>
      <c r="F100" s="18" t="s">
        <v>23</v>
      </c>
      <c r="G100" s="19" t="s">
        <v>23</v>
      </c>
      <c r="H100" s="20" t="s">
        <v>103</v>
      </c>
      <c r="I100" s="18" t="s">
        <v>9</v>
      </c>
      <c r="J100" t="s">
        <v>9</v>
      </c>
      <c r="K100" s="17" t="s">
        <v>107</v>
      </c>
      <c r="L100" s="22" t="s">
        <v>10</v>
      </c>
      <c r="M100" t="s">
        <v>10</v>
      </c>
    </row>
    <row r="101" spans="1:13" x14ac:dyDescent="0.25">
      <c r="A101" t="s">
        <v>127</v>
      </c>
      <c r="B101" s="16" t="s">
        <v>23</v>
      </c>
      <c r="C101" t="s">
        <v>9</v>
      </c>
      <c r="D101" t="str">
        <f t="shared" si="3"/>
        <v>VENUS-Sagittarius-Taurus</v>
      </c>
      <c r="E101" s="17" t="s">
        <v>106</v>
      </c>
      <c r="F101" s="18" t="s">
        <v>21</v>
      </c>
      <c r="G101" s="19" t="s">
        <v>23</v>
      </c>
      <c r="H101" s="20" t="s">
        <v>98</v>
      </c>
      <c r="I101" s="18" t="s">
        <v>7</v>
      </c>
      <c r="J101" t="s">
        <v>9</v>
      </c>
      <c r="K101" s="17" t="s">
        <v>108</v>
      </c>
      <c r="L101" s="22" t="s">
        <v>18</v>
      </c>
      <c r="M101" t="s">
        <v>10</v>
      </c>
    </row>
    <row r="102" spans="1:13" x14ac:dyDescent="0.25">
      <c r="A102" t="s">
        <v>127</v>
      </c>
      <c r="B102" s="16" t="s">
        <v>23</v>
      </c>
      <c r="C102" t="s">
        <v>12</v>
      </c>
      <c r="D102" t="str">
        <f t="shared" si="3"/>
        <v>VENUS-Sagittarius-Gemini</v>
      </c>
      <c r="E102" s="17" t="s">
        <v>107</v>
      </c>
      <c r="F102" s="18" t="s">
        <v>10</v>
      </c>
      <c r="G102" s="19" t="s">
        <v>23</v>
      </c>
      <c r="H102" s="20" t="s">
        <v>100</v>
      </c>
      <c r="I102" s="18" t="s">
        <v>29</v>
      </c>
      <c r="J102" t="s">
        <v>9</v>
      </c>
      <c r="K102" s="17" t="s">
        <v>109</v>
      </c>
      <c r="L102" s="22" t="s">
        <v>16</v>
      </c>
      <c r="M102" t="s">
        <v>10</v>
      </c>
    </row>
    <row r="103" spans="1:13" x14ac:dyDescent="0.25">
      <c r="A103" t="s">
        <v>127</v>
      </c>
      <c r="B103" s="16" t="s">
        <v>23</v>
      </c>
      <c r="C103" t="s">
        <v>14</v>
      </c>
      <c r="D103" t="str">
        <f t="shared" si="3"/>
        <v>VENUS-Sagittarius-Cancer</v>
      </c>
      <c r="E103" s="17" t="s">
        <v>108</v>
      </c>
      <c r="F103" s="18" t="s">
        <v>18</v>
      </c>
      <c r="G103" s="19" t="s">
        <v>23</v>
      </c>
      <c r="H103" s="20" t="s">
        <v>102</v>
      </c>
      <c r="I103" s="18" t="s">
        <v>27</v>
      </c>
      <c r="J103" t="s">
        <v>9</v>
      </c>
      <c r="K103" s="17" t="s">
        <v>99</v>
      </c>
      <c r="L103" s="22" t="s">
        <v>14</v>
      </c>
      <c r="M103" t="s">
        <v>10</v>
      </c>
    </row>
    <row r="104" spans="1:13" x14ac:dyDescent="0.25">
      <c r="A104" t="s">
        <v>127</v>
      </c>
      <c r="B104" s="16" t="s">
        <v>23</v>
      </c>
      <c r="C104" t="s">
        <v>16</v>
      </c>
      <c r="D104" t="str">
        <f t="shared" si="3"/>
        <v>VENUS-Sagittarius-Leo</v>
      </c>
      <c r="E104" s="17" t="s">
        <v>109</v>
      </c>
      <c r="F104" s="18" t="s">
        <v>16</v>
      </c>
      <c r="G104" s="19" t="s">
        <v>23</v>
      </c>
      <c r="H104" s="20" t="s">
        <v>104</v>
      </c>
      <c r="I104" s="18" t="s">
        <v>25</v>
      </c>
      <c r="J104" t="s">
        <v>9</v>
      </c>
      <c r="K104" s="17" t="s">
        <v>101</v>
      </c>
      <c r="L104" s="22" t="s">
        <v>12</v>
      </c>
      <c r="M104" t="s">
        <v>10</v>
      </c>
    </row>
    <row r="105" spans="1:13" x14ac:dyDescent="0.25">
      <c r="A105" t="s">
        <v>127</v>
      </c>
      <c r="B105" s="16" t="s">
        <v>23</v>
      </c>
      <c r="C105" t="s">
        <v>18</v>
      </c>
      <c r="D105" t="str">
        <f t="shared" si="3"/>
        <v>VENUS-Sagittarius-Virgo</v>
      </c>
      <c r="E105" s="17" t="s">
        <v>99</v>
      </c>
      <c r="F105" s="18" t="s">
        <v>14</v>
      </c>
      <c r="G105" s="19" t="s">
        <v>23</v>
      </c>
      <c r="H105" s="20" t="s">
        <v>105</v>
      </c>
      <c r="I105" s="18" t="s">
        <v>23</v>
      </c>
      <c r="J105" t="s">
        <v>9</v>
      </c>
      <c r="K105" s="17" t="s">
        <v>103</v>
      </c>
      <c r="L105" s="18" t="s">
        <v>9</v>
      </c>
      <c r="M105" t="s">
        <v>10</v>
      </c>
    </row>
    <row r="106" spans="1:13" x14ac:dyDescent="0.25">
      <c r="A106" t="s">
        <v>127</v>
      </c>
      <c r="B106" s="16" t="s">
        <v>23</v>
      </c>
      <c r="C106" t="s">
        <v>10</v>
      </c>
      <c r="D106" t="str">
        <f t="shared" si="3"/>
        <v>VENUS-Sagittarius-Libra</v>
      </c>
      <c r="E106" s="17" t="s">
        <v>101</v>
      </c>
      <c r="F106" s="18" t="s">
        <v>12</v>
      </c>
      <c r="G106" s="19" t="s">
        <v>23</v>
      </c>
      <c r="H106" s="20" t="s">
        <v>106</v>
      </c>
      <c r="I106" s="18" t="s">
        <v>21</v>
      </c>
      <c r="J106" t="s">
        <v>9</v>
      </c>
      <c r="K106" s="17" t="s">
        <v>98</v>
      </c>
      <c r="L106" s="18" t="s">
        <v>7</v>
      </c>
      <c r="M106" t="s">
        <v>10</v>
      </c>
    </row>
    <row r="107" spans="1:13" x14ac:dyDescent="0.25">
      <c r="A107" t="s">
        <v>127</v>
      </c>
      <c r="B107" s="16" t="s">
        <v>23</v>
      </c>
      <c r="C107" t="s">
        <v>21</v>
      </c>
      <c r="D107" t="str">
        <f t="shared" si="3"/>
        <v>VENUS-Sagittarius-Scorpio</v>
      </c>
      <c r="E107" s="17" t="s">
        <v>103</v>
      </c>
      <c r="F107" s="18" t="s">
        <v>9</v>
      </c>
      <c r="G107" s="19" t="s">
        <v>23</v>
      </c>
      <c r="H107" s="20" t="s">
        <v>107</v>
      </c>
      <c r="I107" s="18" t="s">
        <v>10</v>
      </c>
      <c r="J107" t="s">
        <v>9</v>
      </c>
      <c r="K107" s="17" t="s">
        <v>100</v>
      </c>
      <c r="L107" s="18" t="s">
        <v>29</v>
      </c>
      <c r="M107" t="s">
        <v>10</v>
      </c>
    </row>
    <row r="108" spans="1:13" x14ac:dyDescent="0.25">
      <c r="A108" t="s">
        <v>127</v>
      </c>
      <c r="B108" s="16" t="s">
        <v>23</v>
      </c>
      <c r="C108" t="s">
        <v>23</v>
      </c>
      <c r="D108" t="str">
        <f t="shared" si="3"/>
        <v>VENUS-Sagittarius-Sagittarius</v>
      </c>
      <c r="E108" s="17" t="s">
        <v>98</v>
      </c>
      <c r="F108" s="18" t="s">
        <v>7</v>
      </c>
      <c r="G108" s="19" t="s">
        <v>23</v>
      </c>
      <c r="H108" s="20" t="s">
        <v>108</v>
      </c>
      <c r="I108" s="18" t="s">
        <v>18</v>
      </c>
      <c r="J108" t="s">
        <v>9</v>
      </c>
      <c r="K108" s="17" t="s">
        <v>102</v>
      </c>
      <c r="L108" s="18" t="s">
        <v>27</v>
      </c>
      <c r="M108" t="s">
        <v>10</v>
      </c>
    </row>
    <row r="109" spans="1:13" x14ac:dyDescent="0.25">
      <c r="A109" t="s">
        <v>127</v>
      </c>
      <c r="B109" s="16" t="s">
        <v>23</v>
      </c>
      <c r="C109" t="s">
        <v>25</v>
      </c>
      <c r="D109" t="str">
        <f t="shared" si="3"/>
        <v>VENUS-Sagittarius-Capricorn</v>
      </c>
      <c r="E109" s="17" t="s">
        <v>100</v>
      </c>
      <c r="F109" s="18" t="s">
        <v>29</v>
      </c>
      <c r="G109" s="19" t="s">
        <v>23</v>
      </c>
      <c r="H109" s="20" t="s">
        <v>109</v>
      </c>
      <c r="I109" s="18" t="s">
        <v>16</v>
      </c>
      <c r="J109" t="s">
        <v>9</v>
      </c>
      <c r="K109" s="17" t="s">
        <v>104</v>
      </c>
      <c r="L109" s="18" t="s">
        <v>25</v>
      </c>
      <c r="M109" t="s">
        <v>10</v>
      </c>
    </row>
    <row r="110" spans="1:13" x14ac:dyDescent="0.25">
      <c r="A110" t="s">
        <v>127</v>
      </c>
      <c r="B110" s="16" t="s">
        <v>23</v>
      </c>
      <c r="C110" t="s">
        <v>27</v>
      </c>
      <c r="D110" t="str">
        <f t="shared" si="3"/>
        <v>VENUS-Sagittarius-Aquarius</v>
      </c>
      <c r="E110" s="17" t="s">
        <v>102</v>
      </c>
      <c r="F110" s="18" t="s">
        <v>27</v>
      </c>
      <c r="G110" s="19" t="s">
        <v>23</v>
      </c>
      <c r="H110" s="20" t="s">
        <v>99</v>
      </c>
      <c r="I110" s="18" t="s">
        <v>14</v>
      </c>
      <c r="J110" t="s">
        <v>9</v>
      </c>
      <c r="K110" s="17" t="s">
        <v>105</v>
      </c>
      <c r="L110" s="18" t="s">
        <v>23</v>
      </c>
      <c r="M110" t="s">
        <v>10</v>
      </c>
    </row>
    <row r="111" spans="1:13" x14ac:dyDescent="0.25">
      <c r="A111" t="s">
        <v>127</v>
      </c>
      <c r="B111" s="16" t="s">
        <v>23</v>
      </c>
      <c r="C111" t="s">
        <v>29</v>
      </c>
      <c r="D111" t="str">
        <f t="shared" si="3"/>
        <v>VENUS-Sagittarius-Pisces</v>
      </c>
      <c r="E111" s="17" t="s">
        <v>104</v>
      </c>
      <c r="F111" s="18" t="s">
        <v>25</v>
      </c>
      <c r="G111" s="19" t="s">
        <v>23</v>
      </c>
      <c r="H111" s="20" t="s">
        <v>101</v>
      </c>
      <c r="I111" s="18" t="s">
        <v>12</v>
      </c>
      <c r="J111" t="s">
        <v>9</v>
      </c>
      <c r="K111" s="17" t="s">
        <v>106</v>
      </c>
      <c r="L111" s="18" t="s">
        <v>21</v>
      </c>
      <c r="M111" t="s">
        <v>10</v>
      </c>
    </row>
    <row r="112" spans="1:13" x14ac:dyDescent="0.25">
      <c r="A112" t="s">
        <v>127</v>
      </c>
      <c r="B112" s="16" t="s">
        <v>25</v>
      </c>
      <c r="C112" t="s">
        <v>7</v>
      </c>
      <c r="D112" t="str">
        <f t="shared" si="3"/>
        <v>VENUS-Capricorn-Aries</v>
      </c>
      <c r="E112" s="17" t="s">
        <v>104</v>
      </c>
      <c r="F112" s="18" t="s">
        <v>25</v>
      </c>
      <c r="G112" s="19" t="s">
        <v>25</v>
      </c>
      <c r="H112" s="20" t="s">
        <v>103</v>
      </c>
      <c r="I112" s="18" t="s">
        <v>9</v>
      </c>
      <c r="J112" t="s">
        <v>9</v>
      </c>
      <c r="K112" s="17" t="s">
        <v>107</v>
      </c>
      <c r="L112" s="22" t="s">
        <v>10</v>
      </c>
      <c r="M112" t="s">
        <v>10</v>
      </c>
    </row>
    <row r="113" spans="1:13" x14ac:dyDescent="0.25">
      <c r="A113" t="s">
        <v>127</v>
      </c>
      <c r="B113" s="16" t="s">
        <v>25</v>
      </c>
      <c r="C113" t="s">
        <v>9</v>
      </c>
      <c r="D113" t="str">
        <f t="shared" si="3"/>
        <v>VENUS-Capricorn-Taurus</v>
      </c>
      <c r="E113" s="17" t="s">
        <v>105</v>
      </c>
      <c r="F113" s="18" t="s">
        <v>23</v>
      </c>
      <c r="G113" s="19" t="s">
        <v>25</v>
      </c>
      <c r="H113" s="20" t="s">
        <v>98</v>
      </c>
      <c r="I113" s="18" t="s">
        <v>7</v>
      </c>
      <c r="J113" t="s">
        <v>9</v>
      </c>
      <c r="K113" s="17" t="s">
        <v>108</v>
      </c>
      <c r="L113" s="22" t="s">
        <v>18</v>
      </c>
      <c r="M113" t="s">
        <v>10</v>
      </c>
    </row>
    <row r="114" spans="1:13" x14ac:dyDescent="0.25">
      <c r="A114" t="s">
        <v>127</v>
      </c>
      <c r="B114" s="16" t="s">
        <v>25</v>
      </c>
      <c r="C114" t="s">
        <v>12</v>
      </c>
      <c r="D114" t="str">
        <f t="shared" si="3"/>
        <v>VENUS-Capricorn-Gemini</v>
      </c>
      <c r="E114" s="17" t="s">
        <v>106</v>
      </c>
      <c r="F114" s="18" t="s">
        <v>21</v>
      </c>
      <c r="G114" s="19" t="s">
        <v>25</v>
      </c>
      <c r="H114" s="20" t="s">
        <v>100</v>
      </c>
      <c r="I114" s="18" t="s">
        <v>29</v>
      </c>
      <c r="J114" t="s">
        <v>9</v>
      </c>
      <c r="K114" s="17" t="s">
        <v>109</v>
      </c>
      <c r="L114" s="22" t="s">
        <v>16</v>
      </c>
      <c r="M114" t="s">
        <v>10</v>
      </c>
    </row>
    <row r="115" spans="1:13" x14ac:dyDescent="0.25">
      <c r="A115" t="s">
        <v>127</v>
      </c>
      <c r="B115" s="16" t="s">
        <v>25</v>
      </c>
      <c r="C115" t="s">
        <v>14</v>
      </c>
      <c r="D115" t="str">
        <f t="shared" si="3"/>
        <v>VENUS-Capricorn-Cancer</v>
      </c>
      <c r="E115" s="17" t="s">
        <v>107</v>
      </c>
      <c r="F115" s="18" t="s">
        <v>10</v>
      </c>
      <c r="G115" s="19" t="s">
        <v>25</v>
      </c>
      <c r="H115" s="20" t="s">
        <v>102</v>
      </c>
      <c r="I115" s="18" t="s">
        <v>27</v>
      </c>
      <c r="J115" t="s">
        <v>9</v>
      </c>
      <c r="K115" s="17" t="s">
        <v>99</v>
      </c>
      <c r="L115" s="22" t="s">
        <v>14</v>
      </c>
      <c r="M115" t="s">
        <v>10</v>
      </c>
    </row>
    <row r="116" spans="1:13" x14ac:dyDescent="0.25">
      <c r="A116" t="s">
        <v>127</v>
      </c>
      <c r="B116" s="16" t="s">
        <v>25</v>
      </c>
      <c r="C116" t="s">
        <v>16</v>
      </c>
      <c r="D116" t="str">
        <f t="shared" si="3"/>
        <v>VENUS-Capricorn-Leo</v>
      </c>
      <c r="E116" s="17" t="s">
        <v>108</v>
      </c>
      <c r="F116" s="18" t="s">
        <v>18</v>
      </c>
      <c r="G116" s="19" t="s">
        <v>25</v>
      </c>
      <c r="H116" s="20" t="s">
        <v>104</v>
      </c>
      <c r="I116" s="18" t="s">
        <v>25</v>
      </c>
      <c r="J116" t="s">
        <v>9</v>
      </c>
      <c r="K116" s="17" t="s">
        <v>101</v>
      </c>
      <c r="L116" s="22" t="s">
        <v>12</v>
      </c>
      <c r="M116" t="s">
        <v>10</v>
      </c>
    </row>
    <row r="117" spans="1:13" x14ac:dyDescent="0.25">
      <c r="A117" t="s">
        <v>127</v>
      </c>
      <c r="B117" s="16" t="s">
        <v>25</v>
      </c>
      <c r="C117" t="s">
        <v>18</v>
      </c>
      <c r="D117" t="str">
        <f t="shared" si="3"/>
        <v>VENUS-Capricorn-Virgo</v>
      </c>
      <c r="E117" s="17" t="s">
        <v>109</v>
      </c>
      <c r="F117" s="18" t="s">
        <v>16</v>
      </c>
      <c r="G117" s="19" t="s">
        <v>25</v>
      </c>
      <c r="H117" s="20" t="s">
        <v>105</v>
      </c>
      <c r="I117" s="18" t="s">
        <v>23</v>
      </c>
      <c r="J117" t="s">
        <v>9</v>
      </c>
      <c r="K117" s="17" t="s">
        <v>103</v>
      </c>
      <c r="L117" s="18" t="s">
        <v>9</v>
      </c>
      <c r="M117" t="s">
        <v>10</v>
      </c>
    </row>
    <row r="118" spans="1:13" x14ac:dyDescent="0.25">
      <c r="A118" t="s">
        <v>127</v>
      </c>
      <c r="B118" s="16" t="s">
        <v>25</v>
      </c>
      <c r="C118" t="s">
        <v>10</v>
      </c>
      <c r="D118" t="str">
        <f t="shared" si="3"/>
        <v>VENUS-Capricorn-Libra</v>
      </c>
      <c r="E118" s="17" t="s">
        <v>99</v>
      </c>
      <c r="F118" s="18" t="s">
        <v>14</v>
      </c>
      <c r="G118" s="19" t="s">
        <v>25</v>
      </c>
      <c r="H118" s="20" t="s">
        <v>106</v>
      </c>
      <c r="I118" s="18" t="s">
        <v>21</v>
      </c>
      <c r="J118" t="s">
        <v>9</v>
      </c>
      <c r="K118" s="17" t="s">
        <v>98</v>
      </c>
      <c r="L118" s="18" t="s">
        <v>7</v>
      </c>
      <c r="M118" t="s">
        <v>10</v>
      </c>
    </row>
    <row r="119" spans="1:13" x14ac:dyDescent="0.25">
      <c r="A119" t="s">
        <v>127</v>
      </c>
      <c r="B119" s="16" t="s">
        <v>25</v>
      </c>
      <c r="C119" t="s">
        <v>21</v>
      </c>
      <c r="D119" t="str">
        <f t="shared" si="3"/>
        <v>VENUS-Capricorn-Scorpio</v>
      </c>
      <c r="E119" s="17" t="s">
        <v>101</v>
      </c>
      <c r="F119" s="18" t="s">
        <v>12</v>
      </c>
      <c r="G119" s="19" t="s">
        <v>25</v>
      </c>
      <c r="H119" s="20" t="s">
        <v>107</v>
      </c>
      <c r="I119" s="18" t="s">
        <v>10</v>
      </c>
      <c r="J119" t="s">
        <v>9</v>
      </c>
      <c r="K119" s="17" t="s">
        <v>100</v>
      </c>
      <c r="L119" s="18" t="s">
        <v>29</v>
      </c>
      <c r="M119" t="s">
        <v>10</v>
      </c>
    </row>
    <row r="120" spans="1:13" x14ac:dyDescent="0.25">
      <c r="A120" t="s">
        <v>127</v>
      </c>
      <c r="B120" s="16" t="s">
        <v>25</v>
      </c>
      <c r="C120" t="s">
        <v>23</v>
      </c>
      <c r="D120" t="str">
        <f t="shared" si="3"/>
        <v>VENUS-Capricorn-Sagittarius</v>
      </c>
      <c r="E120" s="17" t="s">
        <v>103</v>
      </c>
      <c r="F120" s="18" t="s">
        <v>9</v>
      </c>
      <c r="G120" s="19" t="s">
        <v>25</v>
      </c>
      <c r="H120" s="20" t="s">
        <v>108</v>
      </c>
      <c r="I120" s="18" t="s">
        <v>18</v>
      </c>
      <c r="J120" t="s">
        <v>9</v>
      </c>
      <c r="K120" s="17" t="s">
        <v>102</v>
      </c>
      <c r="L120" s="18" t="s">
        <v>27</v>
      </c>
      <c r="M120" t="s">
        <v>10</v>
      </c>
    </row>
    <row r="121" spans="1:13" x14ac:dyDescent="0.25">
      <c r="A121" t="s">
        <v>127</v>
      </c>
      <c r="B121" s="16" t="s">
        <v>25</v>
      </c>
      <c r="C121" t="s">
        <v>25</v>
      </c>
      <c r="D121" t="str">
        <f t="shared" si="3"/>
        <v>VENUS-Capricorn-Capricorn</v>
      </c>
      <c r="E121" s="17" t="s">
        <v>98</v>
      </c>
      <c r="F121" s="18" t="s">
        <v>7</v>
      </c>
      <c r="G121" s="19" t="s">
        <v>25</v>
      </c>
      <c r="H121" s="20" t="s">
        <v>109</v>
      </c>
      <c r="I121" s="18" t="s">
        <v>16</v>
      </c>
      <c r="J121" t="s">
        <v>9</v>
      </c>
      <c r="K121" s="17" t="s">
        <v>104</v>
      </c>
      <c r="L121" s="18" t="s">
        <v>25</v>
      </c>
      <c r="M121" t="s">
        <v>10</v>
      </c>
    </row>
    <row r="122" spans="1:13" x14ac:dyDescent="0.25">
      <c r="A122" t="s">
        <v>127</v>
      </c>
      <c r="B122" s="16" t="s">
        <v>25</v>
      </c>
      <c r="C122" t="s">
        <v>27</v>
      </c>
      <c r="D122" t="str">
        <f t="shared" si="3"/>
        <v>VENUS-Capricorn-Aquarius</v>
      </c>
      <c r="E122" s="17" t="s">
        <v>100</v>
      </c>
      <c r="F122" s="18" t="s">
        <v>29</v>
      </c>
      <c r="G122" s="19" t="s">
        <v>25</v>
      </c>
      <c r="H122" s="20" t="s">
        <v>99</v>
      </c>
      <c r="I122" s="18" t="s">
        <v>14</v>
      </c>
      <c r="J122" t="s">
        <v>9</v>
      </c>
      <c r="K122" s="17" t="s">
        <v>105</v>
      </c>
      <c r="L122" s="18" t="s">
        <v>23</v>
      </c>
      <c r="M122" t="s">
        <v>10</v>
      </c>
    </row>
    <row r="123" spans="1:13" x14ac:dyDescent="0.25">
      <c r="A123" t="s">
        <v>127</v>
      </c>
      <c r="B123" s="16" t="s">
        <v>25</v>
      </c>
      <c r="C123" t="s">
        <v>29</v>
      </c>
      <c r="D123" t="str">
        <f t="shared" si="3"/>
        <v>VENUS-Capricorn-Pisces</v>
      </c>
      <c r="E123" s="17" t="s">
        <v>102</v>
      </c>
      <c r="F123" s="18" t="s">
        <v>27</v>
      </c>
      <c r="G123" s="19" t="s">
        <v>25</v>
      </c>
      <c r="H123" s="20" t="s">
        <v>101</v>
      </c>
      <c r="I123" s="18" t="s">
        <v>12</v>
      </c>
      <c r="J123" t="s">
        <v>9</v>
      </c>
      <c r="K123" s="17" t="s">
        <v>106</v>
      </c>
      <c r="L123" s="18" t="s">
        <v>21</v>
      </c>
      <c r="M123" t="s">
        <v>10</v>
      </c>
    </row>
    <row r="124" spans="1:13" x14ac:dyDescent="0.25">
      <c r="A124" t="s">
        <v>127</v>
      </c>
      <c r="B124" s="16" t="s">
        <v>27</v>
      </c>
      <c r="C124" t="s">
        <v>7</v>
      </c>
      <c r="D124" t="str">
        <f t="shared" si="3"/>
        <v>VENUS-Aquarius-Aries</v>
      </c>
      <c r="E124" s="17" t="s">
        <v>102</v>
      </c>
      <c r="F124" s="18" t="s">
        <v>27</v>
      </c>
      <c r="G124" s="19" t="s">
        <v>27</v>
      </c>
      <c r="H124" s="20" t="s">
        <v>103</v>
      </c>
      <c r="I124" s="18" t="s">
        <v>9</v>
      </c>
      <c r="J124" t="s">
        <v>9</v>
      </c>
      <c r="K124" s="17" t="s">
        <v>107</v>
      </c>
      <c r="L124" s="22" t="s">
        <v>10</v>
      </c>
      <c r="M124" t="s">
        <v>10</v>
      </c>
    </row>
    <row r="125" spans="1:13" x14ac:dyDescent="0.25">
      <c r="A125" t="s">
        <v>127</v>
      </c>
      <c r="B125" s="16" t="s">
        <v>27</v>
      </c>
      <c r="C125" t="s">
        <v>9</v>
      </c>
      <c r="D125" t="str">
        <f t="shared" si="3"/>
        <v>VENUS-Aquarius-Taurus</v>
      </c>
      <c r="E125" s="17" t="s">
        <v>104</v>
      </c>
      <c r="F125" s="18" t="s">
        <v>25</v>
      </c>
      <c r="G125" s="19" t="s">
        <v>27</v>
      </c>
      <c r="H125" s="20" t="s">
        <v>98</v>
      </c>
      <c r="I125" s="18" t="s">
        <v>7</v>
      </c>
      <c r="J125" t="s">
        <v>9</v>
      </c>
      <c r="K125" s="17" t="s">
        <v>108</v>
      </c>
      <c r="L125" s="22" t="s">
        <v>18</v>
      </c>
      <c r="M125" t="s">
        <v>10</v>
      </c>
    </row>
    <row r="126" spans="1:13" x14ac:dyDescent="0.25">
      <c r="A126" t="s">
        <v>127</v>
      </c>
      <c r="B126" s="16" t="s">
        <v>27</v>
      </c>
      <c r="C126" t="s">
        <v>12</v>
      </c>
      <c r="D126" t="str">
        <f t="shared" si="3"/>
        <v>VENUS-Aquarius-Gemini</v>
      </c>
      <c r="E126" s="17" t="s">
        <v>105</v>
      </c>
      <c r="F126" s="18" t="s">
        <v>23</v>
      </c>
      <c r="G126" s="19" t="s">
        <v>27</v>
      </c>
      <c r="H126" s="20" t="s">
        <v>100</v>
      </c>
      <c r="I126" s="18" t="s">
        <v>29</v>
      </c>
      <c r="J126" t="s">
        <v>9</v>
      </c>
      <c r="K126" s="17" t="s">
        <v>109</v>
      </c>
      <c r="L126" s="22" t="s">
        <v>16</v>
      </c>
      <c r="M126" t="s">
        <v>10</v>
      </c>
    </row>
    <row r="127" spans="1:13" x14ac:dyDescent="0.25">
      <c r="A127" t="s">
        <v>127</v>
      </c>
      <c r="B127" s="16" t="s">
        <v>27</v>
      </c>
      <c r="C127" t="s">
        <v>14</v>
      </c>
      <c r="D127" t="str">
        <f t="shared" si="3"/>
        <v>VENUS-Aquarius-Cancer</v>
      </c>
      <c r="E127" s="17" t="s">
        <v>106</v>
      </c>
      <c r="F127" s="18" t="s">
        <v>21</v>
      </c>
      <c r="G127" s="19" t="s">
        <v>27</v>
      </c>
      <c r="H127" s="20" t="s">
        <v>102</v>
      </c>
      <c r="I127" s="18" t="s">
        <v>27</v>
      </c>
      <c r="J127" t="s">
        <v>9</v>
      </c>
      <c r="K127" s="17" t="s">
        <v>99</v>
      </c>
      <c r="L127" s="22" t="s">
        <v>14</v>
      </c>
      <c r="M127" t="s">
        <v>10</v>
      </c>
    </row>
    <row r="128" spans="1:13" x14ac:dyDescent="0.25">
      <c r="A128" t="s">
        <v>127</v>
      </c>
      <c r="B128" s="16" t="s">
        <v>27</v>
      </c>
      <c r="C128" t="s">
        <v>16</v>
      </c>
      <c r="D128" t="str">
        <f t="shared" si="3"/>
        <v>VENUS-Aquarius-Leo</v>
      </c>
      <c r="E128" s="17" t="s">
        <v>107</v>
      </c>
      <c r="F128" s="18" t="s">
        <v>10</v>
      </c>
      <c r="G128" s="19" t="s">
        <v>27</v>
      </c>
      <c r="H128" s="20" t="s">
        <v>104</v>
      </c>
      <c r="I128" s="18" t="s">
        <v>25</v>
      </c>
      <c r="J128" t="s">
        <v>9</v>
      </c>
      <c r="K128" s="17" t="s">
        <v>101</v>
      </c>
      <c r="L128" s="22" t="s">
        <v>12</v>
      </c>
      <c r="M128" t="s">
        <v>10</v>
      </c>
    </row>
    <row r="129" spans="1:13" x14ac:dyDescent="0.25">
      <c r="A129" t="s">
        <v>127</v>
      </c>
      <c r="B129" s="16" t="s">
        <v>27</v>
      </c>
      <c r="C129" t="s">
        <v>18</v>
      </c>
      <c r="D129" t="str">
        <f t="shared" si="3"/>
        <v>VENUS-Aquarius-Virgo</v>
      </c>
      <c r="E129" s="17" t="s">
        <v>108</v>
      </c>
      <c r="F129" s="18" t="s">
        <v>18</v>
      </c>
      <c r="G129" s="19" t="s">
        <v>27</v>
      </c>
      <c r="H129" s="20" t="s">
        <v>105</v>
      </c>
      <c r="I129" s="18" t="s">
        <v>23</v>
      </c>
      <c r="J129" t="s">
        <v>9</v>
      </c>
      <c r="K129" s="17" t="s">
        <v>103</v>
      </c>
      <c r="L129" s="18" t="s">
        <v>9</v>
      </c>
      <c r="M129" t="s">
        <v>10</v>
      </c>
    </row>
    <row r="130" spans="1:13" x14ac:dyDescent="0.25">
      <c r="A130" t="s">
        <v>127</v>
      </c>
      <c r="B130" s="16" t="s">
        <v>27</v>
      </c>
      <c r="C130" t="s">
        <v>10</v>
      </c>
      <c r="D130" t="str">
        <f t="shared" si="3"/>
        <v>VENUS-Aquarius-Libra</v>
      </c>
      <c r="E130" s="17" t="s">
        <v>109</v>
      </c>
      <c r="F130" s="18" t="s">
        <v>16</v>
      </c>
      <c r="G130" s="19" t="s">
        <v>27</v>
      </c>
      <c r="H130" s="20" t="s">
        <v>106</v>
      </c>
      <c r="I130" s="18" t="s">
        <v>21</v>
      </c>
      <c r="J130" t="s">
        <v>9</v>
      </c>
      <c r="K130" s="17" t="s">
        <v>98</v>
      </c>
      <c r="L130" s="18" t="s">
        <v>7</v>
      </c>
      <c r="M130" t="s">
        <v>10</v>
      </c>
    </row>
    <row r="131" spans="1:13" x14ac:dyDescent="0.25">
      <c r="A131" t="s">
        <v>127</v>
      </c>
      <c r="B131" s="16" t="s">
        <v>27</v>
      </c>
      <c r="C131" t="s">
        <v>21</v>
      </c>
      <c r="D131" t="str">
        <f t="shared" si="3"/>
        <v>VENUS-Aquarius-Scorpio</v>
      </c>
      <c r="E131" s="17" t="s">
        <v>99</v>
      </c>
      <c r="F131" s="18" t="s">
        <v>14</v>
      </c>
      <c r="G131" s="19" t="s">
        <v>27</v>
      </c>
      <c r="H131" s="20" t="s">
        <v>107</v>
      </c>
      <c r="I131" s="18" t="s">
        <v>10</v>
      </c>
      <c r="J131" t="s">
        <v>9</v>
      </c>
      <c r="K131" s="17" t="s">
        <v>100</v>
      </c>
      <c r="L131" s="18" t="s">
        <v>29</v>
      </c>
      <c r="M131" t="s">
        <v>10</v>
      </c>
    </row>
    <row r="132" spans="1:13" x14ac:dyDescent="0.25">
      <c r="A132" t="s">
        <v>127</v>
      </c>
      <c r="B132" s="16" t="s">
        <v>27</v>
      </c>
      <c r="C132" t="s">
        <v>23</v>
      </c>
      <c r="D132" t="str">
        <f t="shared" ref="D132:D148" si="4">A132&amp;"-"&amp;B132&amp;"-"&amp;C132</f>
        <v>VENUS-Aquarius-Sagittarius</v>
      </c>
      <c r="E132" s="17" t="s">
        <v>101</v>
      </c>
      <c r="F132" s="18" t="s">
        <v>12</v>
      </c>
      <c r="G132" s="19" t="s">
        <v>27</v>
      </c>
      <c r="H132" s="20" t="s">
        <v>108</v>
      </c>
      <c r="I132" s="18" t="s">
        <v>18</v>
      </c>
      <c r="J132" t="s">
        <v>9</v>
      </c>
      <c r="K132" s="17" t="s">
        <v>102</v>
      </c>
      <c r="L132" s="18" t="s">
        <v>27</v>
      </c>
      <c r="M132" t="s">
        <v>10</v>
      </c>
    </row>
    <row r="133" spans="1:13" x14ac:dyDescent="0.25">
      <c r="A133" t="s">
        <v>127</v>
      </c>
      <c r="B133" s="16" t="s">
        <v>27</v>
      </c>
      <c r="C133" t="s">
        <v>25</v>
      </c>
      <c r="D133" t="str">
        <f t="shared" si="4"/>
        <v>VENUS-Aquarius-Capricorn</v>
      </c>
      <c r="E133" s="17" t="s">
        <v>103</v>
      </c>
      <c r="F133" s="18" t="s">
        <v>9</v>
      </c>
      <c r="G133" s="19" t="s">
        <v>27</v>
      </c>
      <c r="H133" s="20" t="s">
        <v>109</v>
      </c>
      <c r="I133" s="18" t="s">
        <v>16</v>
      </c>
      <c r="J133" t="s">
        <v>9</v>
      </c>
      <c r="K133" s="17" t="s">
        <v>104</v>
      </c>
      <c r="L133" s="18" t="s">
        <v>25</v>
      </c>
      <c r="M133" t="s">
        <v>10</v>
      </c>
    </row>
    <row r="134" spans="1:13" x14ac:dyDescent="0.25">
      <c r="A134" t="s">
        <v>127</v>
      </c>
      <c r="B134" s="16" t="s">
        <v>27</v>
      </c>
      <c r="C134" t="s">
        <v>27</v>
      </c>
      <c r="D134" t="str">
        <f t="shared" si="4"/>
        <v>VENUS-Aquarius-Aquarius</v>
      </c>
      <c r="E134" s="17" t="s">
        <v>98</v>
      </c>
      <c r="F134" s="18" t="s">
        <v>7</v>
      </c>
      <c r="G134" s="19" t="s">
        <v>27</v>
      </c>
      <c r="H134" s="20" t="s">
        <v>99</v>
      </c>
      <c r="I134" s="18" t="s">
        <v>14</v>
      </c>
      <c r="J134" t="s">
        <v>9</v>
      </c>
      <c r="K134" s="17" t="s">
        <v>105</v>
      </c>
      <c r="L134" s="18" t="s">
        <v>23</v>
      </c>
      <c r="M134" t="s">
        <v>10</v>
      </c>
    </row>
    <row r="135" spans="1:13" x14ac:dyDescent="0.25">
      <c r="A135" t="s">
        <v>127</v>
      </c>
      <c r="B135" s="16" t="s">
        <v>27</v>
      </c>
      <c r="C135" t="s">
        <v>29</v>
      </c>
      <c r="D135" t="str">
        <f t="shared" si="4"/>
        <v>VENUS-Aquarius-Pisces</v>
      </c>
      <c r="E135" s="17" t="s">
        <v>100</v>
      </c>
      <c r="F135" s="18" t="s">
        <v>29</v>
      </c>
      <c r="G135" s="19" t="s">
        <v>27</v>
      </c>
      <c r="H135" s="20" t="s">
        <v>101</v>
      </c>
      <c r="I135" s="18" t="s">
        <v>12</v>
      </c>
      <c r="J135" t="s">
        <v>9</v>
      </c>
      <c r="K135" s="17" t="s">
        <v>106</v>
      </c>
      <c r="L135" s="18" t="s">
        <v>21</v>
      </c>
      <c r="M135" t="s">
        <v>10</v>
      </c>
    </row>
    <row r="136" spans="1:13" x14ac:dyDescent="0.25">
      <c r="A136" t="s">
        <v>127</v>
      </c>
      <c r="B136" s="16" t="s">
        <v>29</v>
      </c>
      <c r="C136" t="s">
        <v>7</v>
      </c>
      <c r="D136" t="str">
        <f t="shared" si="4"/>
        <v>VENUS-Pisces-Aries</v>
      </c>
      <c r="E136" s="17" t="s">
        <v>100</v>
      </c>
      <c r="F136" s="18" t="s">
        <v>29</v>
      </c>
      <c r="G136" s="19" t="s">
        <v>29</v>
      </c>
      <c r="H136" s="20" t="s">
        <v>103</v>
      </c>
      <c r="I136" s="18" t="s">
        <v>9</v>
      </c>
      <c r="J136" t="s">
        <v>9</v>
      </c>
      <c r="K136" s="17" t="s">
        <v>107</v>
      </c>
      <c r="L136" s="22" t="s">
        <v>10</v>
      </c>
      <c r="M136" t="s">
        <v>10</v>
      </c>
    </row>
    <row r="137" spans="1:13" x14ac:dyDescent="0.25">
      <c r="A137" t="s">
        <v>127</v>
      </c>
      <c r="B137" s="16" t="s">
        <v>29</v>
      </c>
      <c r="C137" t="s">
        <v>9</v>
      </c>
      <c r="D137" t="str">
        <f t="shared" si="4"/>
        <v>VENUS-Pisces-Taurus</v>
      </c>
      <c r="E137" s="17" t="s">
        <v>102</v>
      </c>
      <c r="F137" s="18" t="s">
        <v>27</v>
      </c>
      <c r="G137" s="19" t="s">
        <v>29</v>
      </c>
      <c r="H137" s="20" t="s">
        <v>98</v>
      </c>
      <c r="I137" s="18" t="s">
        <v>7</v>
      </c>
      <c r="J137" t="s">
        <v>9</v>
      </c>
      <c r="K137" s="17" t="s">
        <v>108</v>
      </c>
      <c r="L137" s="22" t="s">
        <v>18</v>
      </c>
      <c r="M137" t="s">
        <v>10</v>
      </c>
    </row>
    <row r="138" spans="1:13" x14ac:dyDescent="0.25">
      <c r="A138" t="s">
        <v>127</v>
      </c>
      <c r="B138" s="16" t="s">
        <v>29</v>
      </c>
      <c r="C138" t="s">
        <v>12</v>
      </c>
      <c r="D138" t="str">
        <f t="shared" si="4"/>
        <v>VENUS-Pisces-Gemini</v>
      </c>
      <c r="E138" s="17" t="s">
        <v>104</v>
      </c>
      <c r="F138" s="18" t="s">
        <v>25</v>
      </c>
      <c r="G138" s="19" t="s">
        <v>29</v>
      </c>
      <c r="H138" s="20" t="s">
        <v>100</v>
      </c>
      <c r="I138" s="18" t="s">
        <v>29</v>
      </c>
      <c r="J138" t="s">
        <v>9</v>
      </c>
      <c r="K138" s="17" t="s">
        <v>109</v>
      </c>
      <c r="L138" s="22" t="s">
        <v>16</v>
      </c>
      <c r="M138" t="s">
        <v>10</v>
      </c>
    </row>
    <row r="139" spans="1:13" x14ac:dyDescent="0.25">
      <c r="A139" t="s">
        <v>127</v>
      </c>
      <c r="B139" s="16" t="s">
        <v>29</v>
      </c>
      <c r="C139" t="s">
        <v>14</v>
      </c>
      <c r="D139" t="str">
        <f t="shared" si="4"/>
        <v>VENUS-Pisces-Cancer</v>
      </c>
      <c r="E139" s="17" t="s">
        <v>105</v>
      </c>
      <c r="F139" s="18" t="s">
        <v>23</v>
      </c>
      <c r="G139" s="19" t="s">
        <v>29</v>
      </c>
      <c r="H139" s="20" t="s">
        <v>102</v>
      </c>
      <c r="I139" s="18" t="s">
        <v>27</v>
      </c>
      <c r="J139" t="s">
        <v>9</v>
      </c>
      <c r="K139" s="17" t="s">
        <v>99</v>
      </c>
      <c r="L139" s="22" t="s">
        <v>14</v>
      </c>
      <c r="M139" t="s">
        <v>10</v>
      </c>
    </row>
    <row r="140" spans="1:13" x14ac:dyDescent="0.25">
      <c r="A140" t="s">
        <v>127</v>
      </c>
      <c r="B140" s="16" t="s">
        <v>29</v>
      </c>
      <c r="C140" t="s">
        <v>16</v>
      </c>
      <c r="D140" t="str">
        <f t="shared" si="4"/>
        <v>VENUS-Pisces-Leo</v>
      </c>
      <c r="E140" s="17" t="s">
        <v>106</v>
      </c>
      <c r="F140" s="18" t="s">
        <v>21</v>
      </c>
      <c r="G140" s="19" t="s">
        <v>29</v>
      </c>
      <c r="H140" s="20" t="s">
        <v>104</v>
      </c>
      <c r="I140" s="18" t="s">
        <v>25</v>
      </c>
      <c r="J140" t="s">
        <v>9</v>
      </c>
      <c r="K140" s="17" t="s">
        <v>101</v>
      </c>
      <c r="L140" s="22" t="s">
        <v>12</v>
      </c>
      <c r="M140" t="s">
        <v>10</v>
      </c>
    </row>
    <row r="141" spans="1:13" x14ac:dyDescent="0.25">
      <c r="A141" t="s">
        <v>127</v>
      </c>
      <c r="B141" s="16" t="s">
        <v>29</v>
      </c>
      <c r="C141" t="s">
        <v>18</v>
      </c>
      <c r="D141" t="str">
        <f t="shared" si="4"/>
        <v>VENUS-Pisces-Virgo</v>
      </c>
      <c r="E141" s="17" t="s">
        <v>107</v>
      </c>
      <c r="F141" s="18" t="s">
        <v>10</v>
      </c>
      <c r="G141" s="19" t="s">
        <v>29</v>
      </c>
      <c r="H141" s="20" t="s">
        <v>105</v>
      </c>
      <c r="I141" s="18" t="s">
        <v>23</v>
      </c>
      <c r="J141" t="s">
        <v>9</v>
      </c>
      <c r="K141" s="17" t="s">
        <v>103</v>
      </c>
      <c r="L141" s="18" t="s">
        <v>9</v>
      </c>
      <c r="M141" t="s">
        <v>10</v>
      </c>
    </row>
    <row r="142" spans="1:13" x14ac:dyDescent="0.25">
      <c r="A142" t="s">
        <v>127</v>
      </c>
      <c r="B142" s="16" t="s">
        <v>29</v>
      </c>
      <c r="C142" t="s">
        <v>10</v>
      </c>
      <c r="D142" t="str">
        <f t="shared" si="4"/>
        <v>VENUS-Pisces-Libra</v>
      </c>
      <c r="E142" s="17" t="s">
        <v>108</v>
      </c>
      <c r="F142" s="18" t="s">
        <v>18</v>
      </c>
      <c r="G142" s="19" t="s">
        <v>29</v>
      </c>
      <c r="H142" s="20" t="s">
        <v>106</v>
      </c>
      <c r="I142" s="18" t="s">
        <v>21</v>
      </c>
      <c r="J142" t="s">
        <v>9</v>
      </c>
      <c r="K142" s="17" t="s">
        <v>98</v>
      </c>
      <c r="L142" s="18" t="s">
        <v>7</v>
      </c>
      <c r="M142" t="s">
        <v>10</v>
      </c>
    </row>
    <row r="143" spans="1:13" x14ac:dyDescent="0.25">
      <c r="A143" t="s">
        <v>127</v>
      </c>
      <c r="B143" s="16" t="s">
        <v>29</v>
      </c>
      <c r="C143" t="s">
        <v>21</v>
      </c>
      <c r="D143" t="str">
        <f t="shared" si="4"/>
        <v>VENUS-Pisces-Scorpio</v>
      </c>
      <c r="E143" s="17" t="s">
        <v>109</v>
      </c>
      <c r="F143" s="18" t="s">
        <v>16</v>
      </c>
      <c r="G143" s="19" t="s">
        <v>29</v>
      </c>
      <c r="H143" s="20" t="s">
        <v>107</v>
      </c>
      <c r="I143" s="18" t="s">
        <v>10</v>
      </c>
      <c r="J143" t="s">
        <v>9</v>
      </c>
      <c r="K143" s="17" t="s">
        <v>100</v>
      </c>
      <c r="L143" s="18" t="s">
        <v>29</v>
      </c>
      <c r="M143" t="s">
        <v>10</v>
      </c>
    </row>
    <row r="144" spans="1:13" x14ac:dyDescent="0.25">
      <c r="A144" t="s">
        <v>127</v>
      </c>
      <c r="B144" s="16" t="s">
        <v>29</v>
      </c>
      <c r="C144" t="s">
        <v>23</v>
      </c>
      <c r="D144" t="str">
        <f t="shared" si="4"/>
        <v>VENUS-Pisces-Sagittarius</v>
      </c>
      <c r="E144" s="17" t="s">
        <v>99</v>
      </c>
      <c r="F144" s="18" t="s">
        <v>14</v>
      </c>
      <c r="G144" s="19" t="s">
        <v>29</v>
      </c>
      <c r="H144" s="20" t="s">
        <v>108</v>
      </c>
      <c r="I144" s="18" t="s">
        <v>18</v>
      </c>
      <c r="J144" t="s">
        <v>9</v>
      </c>
      <c r="K144" s="17" t="s">
        <v>102</v>
      </c>
      <c r="L144" s="18" t="s">
        <v>27</v>
      </c>
      <c r="M144" t="s">
        <v>10</v>
      </c>
    </row>
    <row r="145" spans="1:13" x14ac:dyDescent="0.25">
      <c r="A145" t="s">
        <v>127</v>
      </c>
      <c r="B145" s="16" t="s">
        <v>29</v>
      </c>
      <c r="C145" t="s">
        <v>25</v>
      </c>
      <c r="D145" t="str">
        <f t="shared" si="4"/>
        <v>VENUS-Pisces-Capricorn</v>
      </c>
      <c r="E145" s="17" t="s">
        <v>101</v>
      </c>
      <c r="F145" s="18" t="s">
        <v>12</v>
      </c>
      <c r="G145" s="19" t="s">
        <v>29</v>
      </c>
      <c r="H145" s="20" t="s">
        <v>109</v>
      </c>
      <c r="I145" s="18" t="s">
        <v>16</v>
      </c>
      <c r="J145" t="s">
        <v>9</v>
      </c>
      <c r="K145" s="17" t="s">
        <v>104</v>
      </c>
      <c r="L145" s="18" t="s">
        <v>25</v>
      </c>
      <c r="M145" t="s">
        <v>10</v>
      </c>
    </row>
    <row r="146" spans="1:13" x14ac:dyDescent="0.25">
      <c r="A146" t="s">
        <v>127</v>
      </c>
      <c r="B146" s="16" t="s">
        <v>29</v>
      </c>
      <c r="C146" t="s">
        <v>27</v>
      </c>
      <c r="D146" t="str">
        <f t="shared" si="4"/>
        <v>VENUS-Pisces-Aquarius</v>
      </c>
      <c r="E146" s="17" t="s">
        <v>103</v>
      </c>
      <c r="F146" s="18" t="s">
        <v>9</v>
      </c>
      <c r="G146" s="19" t="s">
        <v>29</v>
      </c>
      <c r="H146" s="20" t="s">
        <v>99</v>
      </c>
      <c r="I146" s="18" t="s">
        <v>14</v>
      </c>
      <c r="J146" t="s">
        <v>9</v>
      </c>
      <c r="K146" s="17" t="s">
        <v>105</v>
      </c>
      <c r="L146" s="18" t="s">
        <v>23</v>
      </c>
      <c r="M146" t="s">
        <v>10</v>
      </c>
    </row>
    <row r="147" spans="1:13" x14ac:dyDescent="0.25">
      <c r="A147" t="s">
        <v>127</v>
      </c>
      <c r="B147" s="16" t="s">
        <v>29</v>
      </c>
      <c r="C147" t="s">
        <v>29</v>
      </c>
      <c r="D147" t="str">
        <f t="shared" si="4"/>
        <v>VENUS-Pisces-Pisces</v>
      </c>
      <c r="E147" s="17" t="s">
        <v>98</v>
      </c>
      <c r="F147" s="18" t="s">
        <v>7</v>
      </c>
      <c r="G147" s="19" t="s">
        <v>29</v>
      </c>
      <c r="H147" s="20" t="s">
        <v>101</v>
      </c>
      <c r="I147" s="18" t="s">
        <v>12</v>
      </c>
      <c r="J147" t="s">
        <v>9</v>
      </c>
      <c r="K147" s="17" t="s">
        <v>106</v>
      </c>
      <c r="L147" s="18" t="s">
        <v>21</v>
      </c>
      <c r="M147" t="s">
        <v>10</v>
      </c>
    </row>
    <row r="148" spans="1:13" x14ac:dyDescent="0.25">
      <c r="A148" t="s">
        <v>67</v>
      </c>
      <c r="B148" s="16" t="s">
        <v>7</v>
      </c>
      <c r="C148" t="s">
        <v>7</v>
      </c>
      <c r="D148" t="str">
        <f t="shared" si="4"/>
        <v>MERCURY-Aries-Aries</v>
      </c>
      <c r="E148" s="17" t="s">
        <v>98</v>
      </c>
      <c r="F148" s="18" t="s">
        <v>7</v>
      </c>
      <c r="G148" s="19" t="s">
        <v>7</v>
      </c>
      <c r="H148" s="20" t="s">
        <v>101</v>
      </c>
      <c r="I148" s="18" t="s">
        <v>12</v>
      </c>
      <c r="J148" t="s">
        <v>12</v>
      </c>
      <c r="K148" s="17" t="s">
        <v>108</v>
      </c>
      <c r="L148" s="18" t="s">
        <v>18</v>
      </c>
      <c r="M148" t="s">
        <v>18</v>
      </c>
    </row>
    <row r="149" spans="1:13" x14ac:dyDescent="0.25">
      <c r="A149" t="s">
        <v>67</v>
      </c>
      <c r="B149" s="16" t="s">
        <v>7</v>
      </c>
      <c r="C149" t="s">
        <v>9</v>
      </c>
      <c r="D149" t="str">
        <f t="shared" ref="D149:D212" si="5">A149&amp;"-"&amp;B149&amp;"-"&amp;C149</f>
        <v>MERCURY-Aries-Taurus</v>
      </c>
      <c r="E149" s="17" t="s">
        <v>100</v>
      </c>
      <c r="F149" s="18" t="s">
        <v>29</v>
      </c>
      <c r="G149" s="19" t="s">
        <v>7</v>
      </c>
      <c r="H149" s="20" t="s">
        <v>103</v>
      </c>
      <c r="I149" s="18" t="s">
        <v>9</v>
      </c>
      <c r="J149" t="s">
        <v>12</v>
      </c>
      <c r="K149" s="17" t="s">
        <v>109</v>
      </c>
      <c r="L149" s="18" t="s">
        <v>16</v>
      </c>
      <c r="M149" t="s">
        <v>18</v>
      </c>
    </row>
    <row r="150" spans="1:13" x14ac:dyDescent="0.25">
      <c r="A150" t="s">
        <v>67</v>
      </c>
      <c r="B150" s="16" t="s">
        <v>7</v>
      </c>
      <c r="C150" t="s">
        <v>12</v>
      </c>
      <c r="D150" t="str">
        <f t="shared" si="5"/>
        <v>MERCURY-Aries-Gemini</v>
      </c>
      <c r="E150" s="17" t="s">
        <v>102</v>
      </c>
      <c r="F150" s="18" t="s">
        <v>27</v>
      </c>
      <c r="G150" s="19" t="s">
        <v>7</v>
      </c>
      <c r="H150" s="20" t="s">
        <v>98</v>
      </c>
      <c r="I150" s="18" t="s">
        <v>7</v>
      </c>
      <c r="J150" t="s">
        <v>12</v>
      </c>
      <c r="K150" s="17" t="s">
        <v>99</v>
      </c>
      <c r="L150" s="18" t="s">
        <v>14</v>
      </c>
      <c r="M150" t="s">
        <v>18</v>
      </c>
    </row>
    <row r="151" spans="1:13" x14ac:dyDescent="0.25">
      <c r="A151" t="s">
        <v>67</v>
      </c>
      <c r="B151" s="16" t="s">
        <v>7</v>
      </c>
      <c r="C151" t="s">
        <v>14</v>
      </c>
      <c r="D151" t="str">
        <f t="shared" si="5"/>
        <v>MERCURY-Aries-Cancer</v>
      </c>
      <c r="E151" s="17" t="s">
        <v>104</v>
      </c>
      <c r="F151" s="18" t="s">
        <v>25</v>
      </c>
      <c r="G151" s="19" t="s">
        <v>7</v>
      </c>
      <c r="H151" s="20" t="s">
        <v>100</v>
      </c>
      <c r="I151" s="18" t="s">
        <v>29</v>
      </c>
      <c r="J151" t="s">
        <v>12</v>
      </c>
      <c r="K151" s="17" t="s">
        <v>101</v>
      </c>
      <c r="L151" s="18" t="s">
        <v>12</v>
      </c>
      <c r="M151" t="s">
        <v>18</v>
      </c>
    </row>
    <row r="152" spans="1:13" x14ac:dyDescent="0.25">
      <c r="A152" t="s">
        <v>67</v>
      </c>
      <c r="B152" s="16" t="s">
        <v>7</v>
      </c>
      <c r="C152" t="s">
        <v>16</v>
      </c>
      <c r="D152" t="str">
        <f t="shared" si="5"/>
        <v>MERCURY-Aries-Leo</v>
      </c>
      <c r="E152" s="17" t="s">
        <v>105</v>
      </c>
      <c r="F152" s="18" t="s">
        <v>23</v>
      </c>
      <c r="G152" s="19" t="s">
        <v>7</v>
      </c>
      <c r="H152" s="20" t="s">
        <v>102</v>
      </c>
      <c r="I152" s="18" t="s">
        <v>27</v>
      </c>
      <c r="J152" t="s">
        <v>12</v>
      </c>
      <c r="K152" s="17" t="s">
        <v>103</v>
      </c>
      <c r="L152" s="18" t="s">
        <v>9</v>
      </c>
      <c r="M152" t="s">
        <v>18</v>
      </c>
    </row>
    <row r="153" spans="1:13" x14ac:dyDescent="0.25">
      <c r="A153" t="s">
        <v>67</v>
      </c>
      <c r="B153" s="16" t="s">
        <v>7</v>
      </c>
      <c r="C153" t="s">
        <v>18</v>
      </c>
      <c r="D153" t="str">
        <f t="shared" si="5"/>
        <v>MERCURY-Aries-Virgo</v>
      </c>
      <c r="E153" s="17" t="s">
        <v>106</v>
      </c>
      <c r="F153" s="18" t="s">
        <v>21</v>
      </c>
      <c r="G153" s="19" t="s">
        <v>7</v>
      </c>
      <c r="H153" s="20" t="s">
        <v>104</v>
      </c>
      <c r="I153" s="18" t="s">
        <v>25</v>
      </c>
      <c r="J153" t="s">
        <v>12</v>
      </c>
      <c r="K153" s="17" t="s">
        <v>98</v>
      </c>
      <c r="L153" s="18" t="s">
        <v>7</v>
      </c>
      <c r="M153" t="s">
        <v>18</v>
      </c>
    </row>
    <row r="154" spans="1:13" x14ac:dyDescent="0.25">
      <c r="A154" t="s">
        <v>67</v>
      </c>
      <c r="B154" s="16" t="s">
        <v>7</v>
      </c>
      <c r="C154" t="s">
        <v>10</v>
      </c>
      <c r="D154" t="str">
        <f t="shared" si="5"/>
        <v>MERCURY-Aries-Libra</v>
      </c>
      <c r="E154" s="17" t="s">
        <v>107</v>
      </c>
      <c r="F154" s="18" t="s">
        <v>10</v>
      </c>
      <c r="G154" s="19" t="s">
        <v>7</v>
      </c>
      <c r="H154" s="20" t="s">
        <v>105</v>
      </c>
      <c r="I154" s="18" t="s">
        <v>23</v>
      </c>
      <c r="J154" t="s">
        <v>12</v>
      </c>
      <c r="K154" s="17" t="s">
        <v>100</v>
      </c>
      <c r="L154" s="18" t="s">
        <v>29</v>
      </c>
      <c r="M154" t="s">
        <v>18</v>
      </c>
    </row>
    <row r="155" spans="1:13" x14ac:dyDescent="0.25">
      <c r="A155" t="s">
        <v>67</v>
      </c>
      <c r="B155" s="16" t="s">
        <v>7</v>
      </c>
      <c r="C155" t="s">
        <v>21</v>
      </c>
      <c r="D155" t="str">
        <f t="shared" si="5"/>
        <v>MERCURY-Aries-Scorpio</v>
      </c>
      <c r="E155" s="17" t="s">
        <v>108</v>
      </c>
      <c r="F155" s="18" t="s">
        <v>18</v>
      </c>
      <c r="G155" s="19" t="s">
        <v>7</v>
      </c>
      <c r="H155" s="20" t="s">
        <v>106</v>
      </c>
      <c r="I155" s="18" t="s">
        <v>21</v>
      </c>
      <c r="J155" t="s">
        <v>12</v>
      </c>
      <c r="K155" s="17" t="s">
        <v>102</v>
      </c>
      <c r="L155" s="18" t="s">
        <v>27</v>
      </c>
      <c r="M155" t="s">
        <v>18</v>
      </c>
    </row>
    <row r="156" spans="1:13" x14ac:dyDescent="0.25">
      <c r="A156" t="s">
        <v>67</v>
      </c>
      <c r="B156" s="16" t="s">
        <v>7</v>
      </c>
      <c r="C156" t="s">
        <v>23</v>
      </c>
      <c r="D156" t="str">
        <f t="shared" si="5"/>
        <v>MERCURY-Aries-Sagittarius</v>
      </c>
      <c r="E156" s="17" t="s">
        <v>109</v>
      </c>
      <c r="F156" s="18" t="s">
        <v>16</v>
      </c>
      <c r="G156" s="19" t="s">
        <v>7</v>
      </c>
      <c r="H156" s="20" t="s">
        <v>107</v>
      </c>
      <c r="I156" s="18" t="s">
        <v>10</v>
      </c>
      <c r="J156" t="s">
        <v>12</v>
      </c>
      <c r="K156" s="17" t="s">
        <v>104</v>
      </c>
      <c r="L156" s="18" t="s">
        <v>25</v>
      </c>
      <c r="M156" t="s">
        <v>18</v>
      </c>
    </row>
    <row r="157" spans="1:13" x14ac:dyDescent="0.25">
      <c r="A157" t="s">
        <v>67</v>
      </c>
      <c r="B157" s="16" t="s">
        <v>7</v>
      </c>
      <c r="C157" t="s">
        <v>25</v>
      </c>
      <c r="D157" t="str">
        <f t="shared" si="5"/>
        <v>MERCURY-Aries-Capricorn</v>
      </c>
      <c r="E157" s="17" t="s">
        <v>99</v>
      </c>
      <c r="F157" s="18" t="s">
        <v>14</v>
      </c>
      <c r="G157" s="19" t="s">
        <v>7</v>
      </c>
      <c r="H157" s="20" t="s">
        <v>108</v>
      </c>
      <c r="I157" s="18" t="s">
        <v>18</v>
      </c>
      <c r="J157" t="s">
        <v>12</v>
      </c>
      <c r="K157" s="17" t="s">
        <v>105</v>
      </c>
      <c r="L157" s="18" t="s">
        <v>23</v>
      </c>
      <c r="M157" t="s">
        <v>18</v>
      </c>
    </row>
    <row r="158" spans="1:13" x14ac:dyDescent="0.25">
      <c r="A158" t="s">
        <v>67</v>
      </c>
      <c r="B158" s="16" t="s">
        <v>7</v>
      </c>
      <c r="C158" t="s">
        <v>27</v>
      </c>
      <c r="D158" t="str">
        <f t="shared" si="5"/>
        <v>MERCURY-Aries-Aquarius</v>
      </c>
      <c r="E158" s="17" t="s">
        <v>101</v>
      </c>
      <c r="F158" s="18" t="s">
        <v>12</v>
      </c>
      <c r="G158" s="19" t="s">
        <v>7</v>
      </c>
      <c r="H158" s="20" t="s">
        <v>109</v>
      </c>
      <c r="I158" s="18" t="s">
        <v>16</v>
      </c>
      <c r="J158" t="s">
        <v>12</v>
      </c>
      <c r="K158" s="17" t="s">
        <v>106</v>
      </c>
      <c r="L158" s="18" t="s">
        <v>21</v>
      </c>
      <c r="M158" t="s">
        <v>18</v>
      </c>
    </row>
    <row r="159" spans="1:13" x14ac:dyDescent="0.25">
      <c r="A159" t="s">
        <v>67</v>
      </c>
      <c r="B159" s="16" t="s">
        <v>7</v>
      </c>
      <c r="C159" t="s">
        <v>29</v>
      </c>
      <c r="D159" t="str">
        <f t="shared" si="5"/>
        <v>MERCURY-Aries-Pisces</v>
      </c>
      <c r="E159" s="17" t="s">
        <v>103</v>
      </c>
      <c r="F159" s="18" t="s">
        <v>9</v>
      </c>
      <c r="G159" s="19" t="s">
        <v>7</v>
      </c>
      <c r="H159" s="20" t="s">
        <v>99</v>
      </c>
      <c r="I159" s="18" t="s">
        <v>14</v>
      </c>
      <c r="J159" t="s">
        <v>12</v>
      </c>
      <c r="K159" s="17" t="s">
        <v>107</v>
      </c>
      <c r="L159" s="18" t="s">
        <v>10</v>
      </c>
      <c r="M159" t="s">
        <v>18</v>
      </c>
    </row>
    <row r="160" spans="1:13" x14ac:dyDescent="0.25">
      <c r="A160" t="s">
        <v>67</v>
      </c>
      <c r="B160" s="16" t="s">
        <v>9</v>
      </c>
      <c r="C160" t="s">
        <v>7</v>
      </c>
      <c r="D160" t="str">
        <f t="shared" si="5"/>
        <v>MERCURY-Taurus-Aries</v>
      </c>
      <c r="E160" s="17" t="s">
        <v>103</v>
      </c>
      <c r="F160" s="18" t="s">
        <v>9</v>
      </c>
      <c r="G160" s="19" t="s">
        <v>9</v>
      </c>
      <c r="H160" s="20" t="s">
        <v>101</v>
      </c>
      <c r="I160" s="18" t="s">
        <v>12</v>
      </c>
      <c r="J160" t="s">
        <v>12</v>
      </c>
      <c r="K160" s="17" t="s">
        <v>108</v>
      </c>
      <c r="L160" s="18" t="s">
        <v>18</v>
      </c>
      <c r="M160" t="s">
        <v>18</v>
      </c>
    </row>
    <row r="161" spans="1:13" x14ac:dyDescent="0.25">
      <c r="A161" t="s">
        <v>67</v>
      </c>
      <c r="B161" s="16" t="s">
        <v>9</v>
      </c>
      <c r="C161" t="s">
        <v>9</v>
      </c>
      <c r="D161" t="str">
        <f t="shared" si="5"/>
        <v>MERCURY-Taurus-Taurus</v>
      </c>
      <c r="E161" s="17" t="s">
        <v>98</v>
      </c>
      <c r="F161" s="18" t="s">
        <v>7</v>
      </c>
      <c r="G161" s="19" t="s">
        <v>9</v>
      </c>
      <c r="H161" s="20" t="s">
        <v>103</v>
      </c>
      <c r="I161" s="18" t="s">
        <v>9</v>
      </c>
      <c r="J161" t="s">
        <v>12</v>
      </c>
      <c r="K161" s="17" t="s">
        <v>109</v>
      </c>
      <c r="L161" s="18" t="s">
        <v>16</v>
      </c>
      <c r="M161" t="s">
        <v>18</v>
      </c>
    </row>
    <row r="162" spans="1:13" x14ac:dyDescent="0.25">
      <c r="A162" t="s">
        <v>67</v>
      </c>
      <c r="B162" s="16" t="s">
        <v>9</v>
      </c>
      <c r="C162" t="s">
        <v>12</v>
      </c>
      <c r="D162" t="str">
        <f t="shared" si="5"/>
        <v>MERCURY-Taurus-Gemini</v>
      </c>
      <c r="E162" s="17" t="s">
        <v>100</v>
      </c>
      <c r="F162" s="18" t="s">
        <v>29</v>
      </c>
      <c r="G162" s="19" t="s">
        <v>9</v>
      </c>
      <c r="H162" s="20" t="s">
        <v>98</v>
      </c>
      <c r="I162" s="18" t="s">
        <v>7</v>
      </c>
      <c r="J162" t="s">
        <v>12</v>
      </c>
      <c r="K162" s="17" t="s">
        <v>99</v>
      </c>
      <c r="L162" s="18" t="s">
        <v>14</v>
      </c>
      <c r="M162" t="s">
        <v>18</v>
      </c>
    </row>
    <row r="163" spans="1:13" x14ac:dyDescent="0.25">
      <c r="A163" t="s">
        <v>67</v>
      </c>
      <c r="B163" s="16" t="s">
        <v>9</v>
      </c>
      <c r="C163" t="s">
        <v>14</v>
      </c>
      <c r="D163" t="str">
        <f t="shared" si="5"/>
        <v>MERCURY-Taurus-Cancer</v>
      </c>
      <c r="E163" s="17" t="s">
        <v>102</v>
      </c>
      <c r="F163" s="18" t="s">
        <v>27</v>
      </c>
      <c r="G163" s="19" t="s">
        <v>9</v>
      </c>
      <c r="H163" s="20" t="s">
        <v>100</v>
      </c>
      <c r="I163" s="18" t="s">
        <v>29</v>
      </c>
      <c r="J163" t="s">
        <v>12</v>
      </c>
      <c r="K163" s="17" t="s">
        <v>101</v>
      </c>
      <c r="L163" s="18" t="s">
        <v>12</v>
      </c>
      <c r="M163" t="s">
        <v>18</v>
      </c>
    </row>
    <row r="164" spans="1:13" x14ac:dyDescent="0.25">
      <c r="A164" t="s">
        <v>67</v>
      </c>
      <c r="B164" s="16" t="s">
        <v>9</v>
      </c>
      <c r="C164" t="s">
        <v>16</v>
      </c>
      <c r="D164" t="str">
        <f t="shared" si="5"/>
        <v>MERCURY-Taurus-Leo</v>
      </c>
      <c r="E164" s="17" t="s">
        <v>104</v>
      </c>
      <c r="F164" s="18" t="s">
        <v>25</v>
      </c>
      <c r="G164" s="19" t="s">
        <v>9</v>
      </c>
      <c r="H164" s="20" t="s">
        <v>102</v>
      </c>
      <c r="I164" s="18" t="s">
        <v>27</v>
      </c>
      <c r="J164" t="s">
        <v>12</v>
      </c>
      <c r="K164" s="17" t="s">
        <v>103</v>
      </c>
      <c r="L164" s="18" t="s">
        <v>9</v>
      </c>
      <c r="M164" t="s">
        <v>18</v>
      </c>
    </row>
    <row r="165" spans="1:13" x14ac:dyDescent="0.25">
      <c r="A165" t="s">
        <v>67</v>
      </c>
      <c r="B165" s="16" t="s">
        <v>9</v>
      </c>
      <c r="C165" t="s">
        <v>18</v>
      </c>
      <c r="D165" t="str">
        <f t="shared" si="5"/>
        <v>MERCURY-Taurus-Virgo</v>
      </c>
      <c r="E165" s="17" t="s">
        <v>105</v>
      </c>
      <c r="F165" s="18" t="s">
        <v>23</v>
      </c>
      <c r="G165" s="19" t="s">
        <v>9</v>
      </c>
      <c r="H165" s="20" t="s">
        <v>104</v>
      </c>
      <c r="I165" s="18" t="s">
        <v>25</v>
      </c>
      <c r="J165" t="s">
        <v>12</v>
      </c>
      <c r="K165" s="17" t="s">
        <v>98</v>
      </c>
      <c r="L165" s="18" t="s">
        <v>7</v>
      </c>
      <c r="M165" t="s">
        <v>18</v>
      </c>
    </row>
    <row r="166" spans="1:13" x14ac:dyDescent="0.25">
      <c r="A166" t="s">
        <v>67</v>
      </c>
      <c r="B166" s="16" t="s">
        <v>9</v>
      </c>
      <c r="C166" t="s">
        <v>10</v>
      </c>
      <c r="D166" t="str">
        <f t="shared" si="5"/>
        <v>MERCURY-Taurus-Libra</v>
      </c>
      <c r="E166" s="17" t="s">
        <v>106</v>
      </c>
      <c r="F166" s="18" t="s">
        <v>21</v>
      </c>
      <c r="G166" s="19" t="s">
        <v>9</v>
      </c>
      <c r="H166" s="20" t="s">
        <v>105</v>
      </c>
      <c r="I166" s="18" t="s">
        <v>23</v>
      </c>
      <c r="J166" t="s">
        <v>12</v>
      </c>
      <c r="K166" s="17" t="s">
        <v>100</v>
      </c>
      <c r="L166" s="18" t="s">
        <v>29</v>
      </c>
      <c r="M166" t="s">
        <v>18</v>
      </c>
    </row>
    <row r="167" spans="1:13" x14ac:dyDescent="0.25">
      <c r="A167" t="s">
        <v>67</v>
      </c>
      <c r="B167" s="16" t="s">
        <v>9</v>
      </c>
      <c r="C167" t="s">
        <v>21</v>
      </c>
      <c r="D167" t="str">
        <f t="shared" si="5"/>
        <v>MERCURY-Taurus-Scorpio</v>
      </c>
      <c r="E167" s="17" t="s">
        <v>107</v>
      </c>
      <c r="F167" s="18" t="s">
        <v>10</v>
      </c>
      <c r="G167" s="19" t="s">
        <v>9</v>
      </c>
      <c r="H167" s="20" t="s">
        <v>106</v>
      </c>
      <c r="I167" s="18" t="s">
        <v>21</v>
      </c>
      <c r="J167" t="s">
        <v>12</v>
      </c>
      <c r="K167" s="17" t="s">
        <v>102</v>
      </c>
      <c r="L167" s="18" t="s">
        <v>27</v>
      </c>
      <c r="M167" t="s">
        <v>18</v>
      </c>
    </row>
    <row r="168" spans="1:13" x14ac:dyDescent="0.25">
      <c r="A168" t="s">
        <v>67</v>
      </c>
      <c r="B168" s="16" t="s">
        <v>9</v>
      </c>
      <c r="C168" t="s">
        <v>23</v>
      </c>
      <c r="D168" t="str">
        <f t="shared" si="5"/>
        <v>MERCURY-Taurus-Sagittarius</v>
      </c>
      <c r="E168" s="17" t="s">
        <v>108</v>
      </c>
      <c r="F168" s="18" t="s">
        <v>18</v>
      </c>
      <c r="G168" s="19" t="s">
        <v>9</v>
      </c>
      <c r="H168" s="20" t="s">
        <v>107</v>
      </c>
      <c r="I168" s="18" t="s">
        <v>10</v>
      </c>
      <c r="J168" t="s">
        <v>12</v>
      </c>
      <c r="K168" s="17" t="s">
        <v>104</v>
      </c>
      <c r="L168" s="18" t="s">
        <v>25</v>
      </c>
      <c r="M168" t="s">
        <v>18</v>
      </c>
    </row>
    <row r="169" spans="1:13" x14ac:dyDescent="0.25">
      <c r="A169" t="s">
        <v>67</v>
      </c>
      <c r="B169" s="16" t="s">
        <v>9</v>
      </c>
      <c r="C169" t="s">
        <v>25</v>
      </c>
      <c r="D169" t="str">
        <f t="shared" si="5"/>
        <v>MERCURY-Taurus-Capricorn</v>
      </c>
      <c r="E169" s="17" t="s">
        <v>109</v>
      </c>
      <c r="F169" s="18" t="s">
        <v>16</v>
      </c>
      <c r="G169" s="19" t="s">
        <v>9</v>
      </c>
      <c r="H169" s="20" t="s">
        <v>108</v>
      </c>
      <c r="I169" s="18" t="s">
        <v>18</v>
      </c>
      <c r="J169" t="s">
        <v>12</v>
      </c>
      <c r="K169" s="17" t="s">
        <v>105</v>
      </c>
      <c r="L169" s="18" t="s">
        <v>23</v>
      </c>
      <c r="M169" t="s">
        <v>18</v>
      </c>
    </row>
    <row r="170" spans="1:13" x14ac:dyDescent="0.25">
      <c r="A170" t="s">
        <v>67</v>
      </c>
      <c r="B170" s="16" t="s">
        <v>9</v>
      </c>
      <c r="C170" t="s">
        <v>27</v>
      </c>
      <c r="D170" t="str">
        <f t="shared" si="5"/>
        <v>MERCURY-Taurus-Aquarius</v>
      </c>
      <c r="E170" s="17" t="s">
        <v>99</v>
      </c>
      <c r="F170" s="18" t="s">
        <v>14</v>
      </c>
      <c r="G170" s="19" t="s">
        <v>9</v>
      </c>
      <c r="H170" s="20" t="s">
        <v>109</v>
      </c>
      <c r="I170" s="18" t="s">
        <v>16</v>
      </c>
      <c r="J170" t="s">
        <v>12</v>
      </c>
      <c r="K170" s="17" t="s">
        <v>106</v>
      </c>
      <c r="L170" s="18" t="s">
        <v>21</v>
      </c>
      <c r="M170" t="s">
        <v>18</v>
      </c>
    </row>
    <row r="171" spans="1:13" x14ac:dyDescent="0.25">
      <c r="A171" t="s">
        <v>67</v>
      </c>
      <c r="B171" s="16" t="s">
        <v>9</v>
      </c>
      <c r="C171" t="s">
        <v>29</v>
      </c>
      <c r="D171" t="str">
        <f t="shared" si="5"/>
        <v>MERCURY-Taurus-Pisces</v>
      </c>
      <c r="E171" s="17" t="s">
        <v>101</v>
      </c>
      <c r="F171" s="18" t="s">
        <v>12</v>
      </c>
      <c r="G171" s="19" t="s">
        <v>9</v>
      </c>
      <c r="H171" s="20" t="s">
        <v>99</v>
      </c>
      <c r="I171" s="18" t="s">
        <v>14</v>
      </c>
      <c r="J171" t="s">
        <v>12</v>
      </c>
      <c r="K171" s="17" t="s">
        <v>107</v>
      </c>
      <c r="L171" s="18" t="s">
        <v>10</v>
      </c>
      <c r="M171" t="s">
        <v>18</v>
      </c>
    </row>
    <row r="172" spans="1:13" x14ac:dyDescent="0.25">
      <c r="A172" t="s">
        <v>67</v>
      </c>
      <c r="B172" s="16" t="s">
        <v>12</v>
      </c>
      <c r="C172" t="s">
        <v>7</v>
      </c>
      <c r="D172" t="str">
        <f t="shared" si="5"/>
        <v>MERCURY-Gemini-Aries</v>
      </c>
      <c r="E172" s="17" t="s">
        <v>101</v>
      </c>
      <c r="F172" s="18" t="s">
        <v>12</v>
      </c>
      <c r="G172" s="19" t="s">
        <v>12</v>
      </c>
      <c r="H172" s="20" t="s">
        <v>101</v>
      </c>
      <c r="I172" s="18" t="s">
        <v>12</v>
      </c>
      <c r="J172" t="s">
        <v>12</v>
      </c>
      <c r="K172" s="17" t="s">
        <v>108</v>
      </c>
      <c r="L172" s="18" t="s">
        <v>18</v>
      </c>
      <c r="M172" t="s">
        <v>18</v>
      </c>
    </row>
    <row r="173" spans="1:13" x14ac:dyDescent="0.25">
      <c r="A173" t="s">
        <v>67</v>
      </c>
      <c r="B173" s="16" t="s">
        <v>12</v>
      </c>
      <c r="C173" t="s">
        <v>9</v>
      </c>
      <c r="D173" t="str">
        <f t="shared" si="5"/>
        <v>MERCURY-Gemini-Taurus</v>
      </c>
      <c r="E173" s="17" t="s">
        <v>103</v>
      </c>
      <c r="F173" s="18" t="s">
        <v>9</v>
      </c>
      <c r="G173" s="19" t="s">
        <v>12</v>
      </c>
      <c r="H173" s="20" t="s">
        <v>103</v>
      </c>
      <c r="I173" s="18" t="s">
        <v>9</v>
      </c>
      <c r="J173" t="s">
        <v>12</v>
      </c>
      <c r="K173" s="17" t="s">
        <v>109</v>
      </c>
      <c r="L173" s="18" t="s">
        <v>16</v>
      </c>
      <c r="M173" t="s">
        <v>18</v>
      </c>
    </row>
    <row r="174" spans="1:13" x14ac:dyDescent="0.25">
      <c r="A174" t="s">
        <v>67</v>
      </c>
      <c r="B174" s="16" t="s">
        <v>12</v>
      </c>
      <c r="C174" t="s">
        <v>12</v>
      </c>
      <c r="D174" t="str">
        <f t="shared" si="5"/>
        <v>MERCURY-Gemini-Gemini</v>
      </c>
      <c r="E174" s="17" t="s">
        <v>98</v>
      </c>
      <c r="F174" s="18" t="s">
        <v>7</v>
      </c>
      <c r="G174" s="19" t="s">
        <v>12</v>
      </c>
      <c r="H174" s="20" t="s">
        <v>98</v>
      </c>
      <c r="I174" s="18" t="s">
        <v>7</v>
      </c>
      <c r="J174" t="s">
        <v>12</v>
      </c>
      <c r="K174" s="17" t="s">
        <v>99</v>
      </c>
      <c r="L174" s="18" t="s">
        <v>14</v>
      </c>
      <c r="M174" t="s">
        <v>18</v>
      </c>
    </row>
    <row r="175" spans="1:13" x14ac:dyDescent="0.25">
      <c r="A175" t="s">
        <v>67</v>
      </c>
      <c r="B175" s="16" t="s">
        <v>12</v>
      </c>
      <c r="C175" t="s">
        <v>14</v>
      </c>
      <c r="D175" t="str">
        <f t="shared" si="5"/>
        <v>MERCURY-Gemini-Cancer</v>
      </c>
      <c r="E175" s="17" t="s">
        <v>100</v>
      </c>
      <c r="F175" s="18" t="s">
        <v>29</v>
      </c>
      <c r="G175" s="19" t="s">
        <v>12</v>
      </c>
      <c r="H175" s="20" t="s">
        <v>100</v>
      </c>
      <c r="I175" s="18" t="s">
        <v>29</v>
      </c>
      <c r="J175" t="s">
        <v>12</v>
      </c>
      <c r="K175" s="17" t="s">
        <v>101</v>
      </c>
      <c r="L175" s="18" t="s">
        <v>12</v>
      </c>
      <c r="M175" t="s">
        <v>18</v>
      </c>
    </row>
    <row r="176" spans="1:13" x14ac:dyDescent="0.25">
      <c r="A176" t="s">
        <v>67</v>
      </c>
      <c r="B176" s="16" t="s">
        <v>12</v>
      </c>
      <c r="C176" t="s">
        <v>16</v>
      </c>
      <c r="D176" t="str">
        <f t="shared" si="5"/>
        <v>MERCURY-Gemini-Leo</v>
      </c>
      <c r="E176" s="17" t="s">
        <v>102</v>
      </c>
      <c r="F176" s="18" t="s">
        <v>27</v>
      </c>
      <c r="G176" s="19" t="s">
        <v>12</v>
      </c>
      <c r="H176" s="20" t="s">
        <v>102</v>
      </c>
      <c r="I176" s="18" t="s">
        <v>27</v>
      </c>
      <c r="J176" t="s">
        <v>12</v>
      </c>
      <c r="K176" s="17" t="s">
        <v>103</v>
      </c>
      <c r="L176" s="18" t="s">
        <v>9</v>
      </c>
      <c r="M176" t="s">
        <v>18</v>
      </c>
    </row>
    <row r="177" spans="1:13" x14ac:dyDescent="0.25">
      <c r="A177" t="s">
        <v>67</v>
      </c>
      <c r="B177" s="16" t="s">
        <v>12</v>
      </c>
      <c r="C177" t="s">
        <v>18</v>
      </c>
      <c r="D177" t="str">
        <f t="shared" si="5"/>
        <v>MERCURY-Gemini-Virgo</v>
      </c>
      <c r="E177" s="17" t="s">
        <v>104</v>
      </c>
      <c r="F177" s="18" t="s">
        <v>25</v>
      </c>
      <c r="G177" s="19" t="s">
        <v>12</v>
      </c>
      <c r="H177" s="20" t="s">
        <v>104</v>
      </c>
      <c r="I177" s="18" t="s">
        <v>25</v>
      </c>
      <c r="J177" t="s">
        <v>12</v>
      </c>
      <c r="K177" s="17" t="s">
        <v>98</v>
      </c>
      <c r="L177" s="18" t="s">
        <v>7</v>
      </c>
      <c r="M177" t="s">
        <v>18</v>
      </c>
    </row>
    <row r="178" spans="1:13" x14ac:dyDescent="0.25">
      <c r="A178" t="s">
        <v>67</v>
      </c>
      <c r="B178" s="16" t="s">
        <v>12</v>
      </c>
      <c r="C178" t="s">
        <v>10</v>
      </c>
      <c r="D178" t="str">
        <f t="shared" si="5"/>
        <v>MERCURY-Gemini-Libra</v>
      </c>
      <c r="E178" s="17" t="s">
        <v>105</v>
      </c>
      <c r="F178" s="18" t="s">
        <v>23</v>
      </c>
      <c r="G178" s="19" t="s">
        <v>12</v>
      </c>
      <c r="H178" s="20" t="s">
        <v>105</v>
      </c>
      <c r="I178" s="18" t="s">
        <v>23</v>
      </c>
      <c r="J178" t="s">
        <v>12</v>
      </c>
      <c r="K178" s="17" t="s">
        <v>100</v>
      </c>
      <c r="L178" s="18" t="s">
        <v>29</v>
      </c>
      <c r="M178" t="s">
        <v>18</v>
      </c>
    </row>
    <row r="179" spans="1:13" x14ac:dyDescent="0.25">
      <c r="A179" t="s">
        <v>67</v>
      </c>
      <c r="B179" s="16" t="s">
        <v>12</v>
      </c>
      <c r="C179" t="s">
        <v>21</v>
      </c>
      <c r="D179" t="str">
        <f t="shared" si="5"/>
        <v>MERCURY-Gemini-Scorpio</v>
      </c>
      <c r="E179" s="17" t="s">
        <v>106</v>
      </c>
      <c r="F179" s="18" t="s">
        <v>21</v>
      </c>
      <c r="G179" s="19" t="s">
        <v>12</v>
      </c>
      <c r="H179" s="20" t="s">
        <v>106</v>
      </c>
      <c r="I179" s="18" t="s">
        <v>21</v>
      </c>
      <c r="J179" t="s">
        <v>12</v>
      </c>
      <c r="K179" s="17" t="s">
        <v>102</v>
      </c>
      <c r="L179" s="18" t="s">
        <v>27</v>
      </c>
      <c r="M179" t="s">
        <v>18</v>
      </c>
    </row>
    <row r="180" spans="1:13" x14ac:dyDescent="0.25">
      <c r="A180" t="s">
        <v>67</v>
      </c>
      <c r="B180" s="16" t="s">
        <v>12</v>
      </c>
      <c r="C180" t="s">
        <v>23</v>
      </c>
      <c r="D180" t="str">
        <f t="shared" si="5"/>
        <v>MERCURY-Gemini-Sagittarius</v>
      </c>
      <c r="E180" s="17" t="s">
        <v>107</v>
      </c>
      <c r="F180" s="18" t="s">
        <v>10</v>
      </c>
      <c r="G180" s="19" t="s">
        <v>12</v>
      </c>
      <c r="H180" s="20" t="s">
        <v>107</v>
      </c>
      <c r="I180" s="18" t="s">
        <v>10</v>
      </c>
      <c r="J180" t="s">
        <v>12</v>
      </c>
      <c r="K180" s="17" t="s">
        <v>104</v>
      </c>
      <c r="L180" s="18" t="s">
        <v>25</v>
      </c>
      <c r="M180" t="s">
        <v>18</v>
      </c>
    </row>
    <row r="181" spans="1:13" x14ac:dyDescent="0.25">
      <c r="A181" t="s">
        <v>67</v>
      </c>
      <c r="B181" s="16" t="s">
        <v>12</v>
      </c>
      <c r="C181" t="s">
        <v>25</v>
      </c>
      <c r="D181" t="str">
        <f t="shared" si="5"/>
        <v>MERCURY-Gemini-Capricorn</v>
      </c>
      <c r="E181" s="17" t="s">
        <v>108</v>
      </c>
      <c r="F181" s="18" t="s">
        <v>18</v>
      </c>
      <c r="G181" s="19" t="s">
        <v>12</v>
      </c>
      <c r="H181" s="20" t="s">
        <v>108</v>
      </c>
      <c r="I181" s="18" t="s">
        <v>18</v>
      </c>
      <c r="J181" t="s">
        <v>12</v>
      </c>
      <c r="K181" s="17" t="s">
        <v>105</v>
      </c>
      <c r="L181" s="18" t="s">
        <v>23</v>
      </c>
      <c r="M181" t="s">
        <v>18</v>
      </c>
    </row>
    <row r="182" spans="1:13" x14ac:dyDescent="0.25">
      <c r="A182" t="s">
        <v>67</v>
      </c>
      <c r="B182" s="16" t="s">
        <v>12</v>
      </c>
      <c r="C182" t="s">
        <v>27</v>
      </c>
      <c r="D182" t="str">
        <f t="shared" si="5"/>
        <v>MERCURY-Gemini-Aquarius</v>
      </c>
      <c r="E182" s="17" t="s">
        <v>109</v>
      </c>
      <c r="F182" s="18" t="s">
        <v>16</v>
      </c>
      <c r="G182" s="19" t="s">
        <v>12</v>
      </c>
      <c r="H182" s="20" t="s">
        <v>109</v>
      </c>
      <c r="I182" s="18" t="s">
        <v>16</v>
      </c>
      <c r="J182" t="s">
        <v>12</v>
      </c>
      <c r="K182" s="17" t="s">
        <v>106</v>
      </c>
      <c r="L182" s="18" t="s">
        <v>21</v>
      </c>
      <c r="M182" t="s">
        <v>18</v>
      </c>
    </row>
    <row r="183" spans="1:13" x14ac:dyDescent="0.25">
      <c r="A183" t="s">
        <v>67</v>
      </c>
      <c r="B183" s="16" t="s">
        <v>12</v>
      </c>
      <c r="C183" t="s">
        <v>29</v>
      </c>
      <c r="D183" t="str">
        <f t="shared" si="5"/>
        <v>MERCURY-Gemini-Pisces</v>
      </c>
      <c r="E183" s="17" t="s">
        <v>99</v>
      </c>
      <c r="F183" s="18" t="s">
        <v>14</v>
      </c>
      <c r="G183" s="19" t="s">
        <v>12</v>
      </c>
      <c r="H183" s="20" t="s">
        <v>99</v>
      </c>
      <c r="I183" s="18" t="s">
        <v>14</v>
      </c>
      <c r="J183" t="s">
        <v>12</v>
      </c>
      <c r="K183" s="17" t="s">
        <v>107</v>
      </c>
      <c r="L183" s="18" t="s">
        <v>10</v>
      </c>
      <c r="M183" t="s">
        <v>18</v>
      </c>
    </row>
    <row r="184" spans="1:13" x14ac:dyDescent="0.25">
      <c r="A184" t="s">
        <v>67</v>
      </c>
      <c r="B184" s="16" t="s">
        <v>14</v>
      </c>
      <c r="C184" t="s">
        <v>7</v>
      </c>
      <c r="D184" t="str">
        <f t="shared" si="5"/>
        <v>MERCURY-Cancer-Aries</v>
      </c>
      <c r="E184" s="17" t="s">
        <v>99</v>
      </c>
      <c r="F184" s="18" t="s">
        <v>14</v>
      </c>
      <c r="G184" s="19" t="s">
        <v>14</v>
      </c>
      <c r="H184" s="20" t="s">
        <v>101</v>
      </c>
      <c r="I184" s="18" t="s">
        <v>12</v>
      </c>
      <c r="J184" t="s">
        <v>12</v>
      </c>
      <c r="K184" s="17" t="s">
        <v>108</v>
      </c>
      <c r="L184" s="18" t="s">
        <v>18</v>
      </c>
      <c r="M184" t="s">
        <v>18</v>
      </c>
    </row>
    <row r="185" spans="1:13" x14ac:dyDescent="0.25">
      <c r="A185" t="s">
        <v>67</v>
      </c>
      <c r="B185" s="16" t="s">
        <v>14</v>
      </c>
      <c r="C185" t="s">
        <v>9</v>
      </c>
      <c r="D185" t="str">
        <f t="shared" si="5"/>
        <v>MERCURY-Cancer-Taurus</v>
      </c>
      <c r="E185" s="17" t="s">
        <v>101</v>
      </c>
      <c r="F185" s="18" t="s">
        <v>12</v>
      </c>
      <c r="G185" s="19" t="s">
        <v>14</v>
      </c>
      <c r="H185" s="20" t="s">
        <v>103</v>
      </c>
      <c r="I185" s="18" t="s">
        <v>9</v>
      </c>
      <c r="J185" t="s">
        <v>12</v>
      </c>
      <c r="K185" s="17" t="s">
        <v>109</v>
      </c>
      <c r="L185" s="18" t="s">
        <v>16</v>
      </c>
      <c r="M185" t="s">
        <v>18</v>
      </c>
    </row>
    <row r="186" spans="1:13" x14ac:dyDescent="0.25">
      <c r="A186" t="s">
        <v>67</v>
      </c>
      <c r="B186" s="16" t="s">
        <v>14</v>
      </c>
      <c r="C186" t="s">
        <v>12</v>
      </c>
      <c r="D186" t="str">
        <f t="shared" si="5"/>
        <v>MERCURY-Cancer-Gemini</v>
      </c>
      <c r="E186" s="17" t="s">
        <v>103</v>
      </c>
      <c r="F186" s="18" t="s">
        <v>9</v>
      </c>
      <c r="G186" s="19" t="s">
        <v>14</v>
      </c>
      <c r="H186" s="20" t="s">
        <v>98</v>
      </c>
      <c r="I186" s="18" t="s">
        <v>7</v>
      </c>
      <c r="J186" t="s">
        <v>12</v>
      </c>
      <c r="K186" s="17" t="s">
        <v>99</v>
      </c>
      <c r="L186" s="18" t="s">
        <v>14</v>
      </c>
      <c r="M186" t="s">
        <v>18</v>
      </c>
    </row>
    <row r="187" spans="1:13" x14ac:dyDescent="0.25">
      <c r="A187" t="s">
        <v>67</v>
      </c>
      <c r="B187" s="16" t="s">
        <v>14</v>
      </c>
      <c r="C187" t="s">
        <v>14</v>
      </c>
      <c r="D187" t="str">
        <f t="shared" si="5"/>
        <v>MERCURY-Cancer-Cancer</v>
      </c>
      <c r="E187" s="17" t="s">
        <v>98</v>
      </c>
      <c r="F187" s="18" t="s">
        <v>7</v>
      </c>
      <c r="G187" s="19" t="s">
        <v>14</v>
      </c>
      <c r="H187" s="20" t="s">
        <v>100</v>
      </c>
      <c r="I187" s="18" t="s">
        <v>29</v>
      </c>
      <c r="J187" t="s">
        <v>12</v>
      </c>
      <c r="K187" s="17" t="s">
        <v>101</v>
      </c>
      <c r="L187" s="18" t="s">
        <v>12</v>
      </c>
      <c r="M187" t="s">
        <v>18</v>
      </c>
    </row>
    <row r="188" spans="1:13" x14ac:dyDescent="0.25">
      <c r="A188" t="s">
        <v>67</v>
      </c>
      <c r="B188" s="16" t="s">
        <v>14</v>
      </c>
      <c r="C188" t="s">
        <v>16</v>
      </c>
      <c r="D188" t="str">
        <f t="shared" si="5"/>
        <v>MERCURY-Cancer-Leo</v>
      </c>
      <c r="E188" s="17" t="s">
        <v>100</v>
      </c>
      <c r="F188" s="18" t="s">
        <v>29</v>
      </c>
      <c r="G188" s="19" t="s">
        <v>14</v>
      </c>
      <c r="H188" s="20" t="s">
        <v>102</v>
      </c>
      <c r="I188" s="18" t="s">
        <v>27</v>
      </c>
      <c r="J188" t="s">
        <v>12</v>
      </c>
      <c r="K188" s="17" t="s">
        <v>103</v>
      </c>
      <c r="L188" s="18" t="s">
        <v>9</v>
      </c>
      <c r="M188" t="s">
        <v>18</v>
      </c>
    </row>
    <row r="189" spans="1:13" x14ac:dyDescent="0.25">
      <c r="A189" t="s">
        <v>67</v>
      </c>
      <c r="B189" s="16" t="s">
        <v>14</v>
      </c>
      <c r="C189" t="s">
        <v>18</v>
      </c>
      <c r="D189" t="str">
        <f t="shared" si="5"/>
        <v>MERCURY-Cancer-Virgo</v>
      </c>
      <c r="E189" s="17" t="s">
        <v>102</v>
      </c>
      <c r="F189" s="18" t="s">
        <v>27</v>
      </c>
      <c r="G189" s="19" t="s">
        <v>14</v>
      </c>
      <c r="H189" s="20" t="s">
        <v>104</v>
      </c>
      <c r="I189" s="18" t="s">
        <v>25</v>
      </c>
      <c r="J189" t="s">
        <v>12</v>
      </c>
      <c r="K189" s="17" t="s">
        <v>98</v>
      </c>
      <c r="L189" s="18" t="s">
        <v>7</v>
      </c>
      <c r="M189" t="s">
        <v>18</v>
      </c>
    </row>
    <row r="190" spans="1:13" x14ac:dyDescent="0.25">
      <c r="A190" t="s">
        <v>67</v>
      </c>
      <c r="B190" s="16" t="s">
        <v>14</v>
      </c>
      <c r="C190" t="s">
        <v>10</v>
      </c>
      <c r="D190" t="str">
        <f t="shared" si="5"/>
        <v>MERCURY-Cancer-Libra</v>
      </c>
      <c r="E190" s="17" t="s">
        <v>104</v>
      </c>
      <c r="F190" s="18" t="s">
        <v>25</v>
      </c>
      <c r="G190" s="19" t="s">
        <v>14</v>
      </c>
      <c r="H190" s="20" t="s">
        <v>105</v>
      </c>
      <c r="I190" s="18" t="s">
        <v>23</v>
      </c>
      <c r="J190" t="s">
        <v>12</v>
      </c>
      <c r="K190" s="17" t="s">
        <v>100</v>
      </c>
      <c r="L190" s="18" t="s">
        <v>29</v>
      </c>
      <c r="M190" t="s">
        <v>18</v>
      </c>
    </row>
    <row r="191" spans="1:13" x14ac:dyDescent="0.25">
      <c r="A191" t="s">
        <v>67</v>
      </c>
      <c r="B191" s="16" t="s">
        <v>14</v>
      </c>
      <c r="C191" t="s">
        <v>21</v>
      </c>
      <c r="D191" t="str">
        <f t="shared" si="5"/>
        <v>MERCURY-Cancer-Scorpio</v>
      </c>
      <c r="E191" s="17" t="s">
        <v>105</v>
      </c>
      <c r="F191" s="18" t="s">
        <v>23</v>
      </c>
      <c r="G191" s="19" t="s">
        <v>14</v>
      </c>
      <c r="H191" s="20" t="s">
        <v>106</v>
      </c>
      <c r="I191" s="18" t="s">
        <v>21</v>
      </c>
      <c r="J191" t="s">
        <v>12</v>
      </c>
      <c r="K191" s="17" t="s">
        <v>102</v>
      </c>
      <c r="L191" s="18" t="s">
        <v>27</v>
      </c>
      <c r="M191" t="s">
        <v>18</v>
      </c>
    </row>
    <row r="192" spans="1:13" x14ac:dyDescent="0.25">
      <c r="A192" t="s">
        <v>67</v>
      </c>
      <c r="B192" s="16" t="s">
        <v>14</v>
      </c>
      <c r="C192" t="s">
        <v>23</v>
      </c>
      <c r="D192" t="str">
        <f t="shared" si="5"/>
        <v>MERCURY-Cancer-Sagittarius</v>
      </c>
      <c r="E192" s="17" t="s">
        <v>106</v>
      </c>
      <c r="F192" s="18" t="s">
        <v>21</v>
      </c>
      <c r="G192" s="19" t="s">
        <v>14</v>
      </c>
      <c r="H192" s="20" t="s">
        <v>107</v>
      </c>
      <c r="I192" s="18" t="s">
        <v>10</v>
      </c>
      <c r="J192" t="s">
        <v>12</v>
      </c>
      <c r="K192" s="17" t="s">
        <v>104</v>
      </c>
      <c r="L192" s="18" t="s">
        <v>25</v>
      </c>
      <c r="M192" t="s">
        <v>18</v>
      </c>
    </row>
    <row r="193" spans="1:13" x14ac:dyDescent="0.25">
      <c r="A193" t="s">
        <v>67</v>
      </c>
      <c r="B193" s="16" t="s">
        <v>14</v>
      </c>
      <c r="C193" t="s">
        <v>25</v>
      </c>
      <c r="D193" t="str">
        <f t="shared" si="5"/>
        <v>MERCURY-Cancer-Capricorn</v>
      </c>
      <c r="E193" s="17" t="s">
        <v>107</v>
      </c>
      <c r="F193" s="18" t="s">
        <v>10</v>
      </c>
      <c r="G193" s="19" t="s">
        <v>14</v>
      </c>
      <c r="H193" s="20" t="s">
        <v>108</v>
      </c>
      <c r="I193" s="18" t="s">
        <v>18</v>
      </c>
      <c r="J193" t="s">
        <v>12</v>
      </c>
      <c r="K193" s="17" t="s">
        <v>105</v>
      </c>
      <c r="L193" s="18" t="s">
        <v>23</v>
      </c>
      <c r="M193" t="s">
        <v>18</v>
      </c>
    </row>
    <row r="194" spans="1:13" x14ac:dyDescent="0.25">
      <c r="A194" t="s">
        <v>67</v>
      </c>
      <c r="B194" s="16" t="s">
        <v>14</v>
      </c>
      <c r="C194" t="s">
        <v>27</v>
      </c>
      <c r="D194" t="str">
        <f t="shared" si="5"/>
        <v>MERCURY-Cancer-Aquarius</v>
      </c>
      <c r="E194" s="17" t="s">
        <v>108</v>
      </c>
      <c r="F194" s="18" t="s">
        <v>18</v>
      </c>
      <c r="G194" s="19" t="s">
        <v>14</v>
      </c>
      <c r="H194" s="20" t="s">
        <v>109</v>
      </c>
      <c r="I194" s="18" t="s">
        <v>16</v>
      </c>
      <c r="J194" t="s">
        <v>12</v>
      </c>
      <c r="K194" s="17" t="s">
        <v>106</v>
      </c>
      <c r="L194" s="18" t="s">
        <v>21</v>
      </c>
      <c r="M194" t="s">
        <v>18</v>
      </c>
    </row>
    <row r="195" spans="1:13" x14ac:dyDescent="0.25">
      <c r="A195" t="s">
        <v>67</v>
      </c>
      <c r="B195" s="16" t="s">
        <v>14</v>
      </c>
      <c r="C195" t="s">
        <v>29</v>
      </c>
      <c r="D195" t="str">
        <f t="shared" si="5"/>
        <v>MERCURY-Cancer-Pisces</v>
      </c>
      <c r="E195" s="17" t="s">
        <v>109</v>
      </c>
      <c r="F195" s="18" t="s">
        <v>16</v>
      </c>
      <c r="G195" s="19" t="s">
        <v>14</v>
      </c>
      <c r="H195" s="20" t="s">
        <v>99</v>
      </c>
      <c r="I195" s="18" t="s">
        <v>14</v>
      </c>
      <c r="J195" t="s">
        <v>12</v>
      </c>
      <c r="K195" s="17" t="s">
        <v>107</v>
      </c>
      <c r="L195" s="18" t="s">
        <v>10</v>
      </c>
      <c r="M195" t="s">
        <v>18</v>
      </c>
    </row>
    <row r="196" spans="1:13" x14ac:dyDescent="0.25">
      <c r="A196" t="s">
        <v>67</v>
      </c>
      <c r="B196" s="16" t="s">
        <v>16</v>
      </c>
      <c r="C196" t="s">
        <v>7</v>
      </c>
      <c r="D196" t="str">
        <f t="shared" si="5"/>
        <v>MERCURY-Leo-Aries</v>
      </c>
      <c r="E196" s="17" t="s">
        <v>109</v>
      </c>
      <c r="F196" s="18" t="s">
        <v>16</v>
      </c>
      <c r="G196" s="19" t="s">
        <v>16</v>
      </c>
      <c r="H196" s="20" t="s">
        <v>101</v>
      </c>
      <c r="I196" s="18" t="s">
        <v>12</v>
      </c>
      <c r="J196" t="s">
        <v>12</v>
      </c>
      <c r="K196" s="17" t="s">
        <v>108</v>
      </c>
      <c r="L196" s="18" t="s">
        <v>18</v>
      </c>
      <c r="M196" t="s">
        <v>18</v>
      </c>
    </row>
    <row r="197" spans="1:13" x14ac:dyDescent="0.25">
      <c r="A197" t="s">
        <v>67</v>
      </c>
      <c r="B197" s="16" t="s">
        <v>16</v>
      </c>
      <c r="C197" t="s">
        <v>9</v>
      </c>
      <c r="D197" t="str">
        <f t="shared" si="5"/>
        <v>MERCURY-Leo-Taurus</v>
      </c>
      <c r="E197" s="17" t="s">
        <v>99</v>
      </c>
      <c r="F197" s="18" t="s">
        <v>14</v>
      </c>
      <c r="G197" s="19" t="s">
        <v>16</v>
      </c>
      <c r="H197" s="20" t="s">
        <v>103</v>
      </c>
      <c r="I197" s="18" t="s">
        <v>9</v>
      </c>
      <c r="J197" t="s">
        <v>12</v>
      </c>
      <c r="K197" s="17" t="s">
        <v>109</v>
      </c>
      <c r="L197" s="18" t="s">
        <v>16</v>
      </c>
      <c r="M197" t="s">
        <v>18</v>
      </c>
    </row>
    <row r="198" spans="1:13" x14ac:dyDescent="0.25">
      <c r="A198" t="s">
        <v>67</v>
      </c>
      <c r="B198" s="16" t="s">
        <v>16</v>
      </c>
      <c r="C198" t="s">
        <v>12</v>
      </c>
      <c r="D198" t="str">
        <f t="shared" si="5"/>
        <v>MERCURY-Leo-Gemini</v>
      </c>
      <c r="E198" s="17" t="s">
        <v>101</v>
      </c>
      <c r="F198" s="18" t="s">
        <v>12</v>
      </c>
      <c r="G198" s="19" t="s">
        <v>16</v>
      </c>
      <c r="H198" s="20" t="s">
        <v>98</v>
      </c>
      <c r="I198" s="18" t="s">
        <v>7</v>
      </c>
      <c r="J198" t="s">
        <v>12</v>
      </c>
      <c r="K198" s="17" t="s">
        <v>99</v>
      </c>
      <c r="L198" s="18" t="s">
        <v>14</v>
      </c>
      <c r="M198" t="s">
        <v>18</v>
      </c>
    </row>
    <row r="199" spans="1:13" x14ac:dyDescent="0.25">
      <c r="A199" t="s">
        <v>67</v>
      </c>
      <c r="B199" s="16" t="s">
        <v>16</v>
      </c>
      <c r="C199" t="s">
        <v>14</v>
      </c>
      <c r="D199" t="str">
        <f t="shared" si="5"/>
        <v>MERCURY-Leo-Cancer</v>
      </c>
      <c r="E199" s="17" t="s">
        <v>103</v>
      </c>
      <c r="F199" s="18" t="s">
        <v>9</v>
      </c>
      <c r="G199" s="19" t="s">
        <v>16</v>
      </c>
      <c r="H199" s="20" t="s">
        <v>100</v>
      </c>
      <c r="I199" s="18" t="s">
        <v>29</v>
      </c>
      <c r="J199" t="s">
        <v>12</v>
      </c>
      <c r="K199" s="17" t="s">
        <v>101</v>
      </c>
      <c r="L199" s="18" t="s">
        <v>12</v>
      </c>
      <c r="M199" t="s">
        <v>18</v>
      </c>
    </row>
    <row r="200" spans="1:13" x14ac:dyDescent="0.25">
      <c r="A200" t="s">
        <v>67</v>
      </c>
      <c r="B200" s="16" t="s">
        <v>16</v>
      </c>
      <c r="C200" t="s">
        <v>16</v>
      </c>
      <c r="D200" t="str">
        <f t="shared" si="5"/>
        <v>MERCURY-Leo-Leo</v>
      </c>
      <c r="E200" s="17" t="s">
        <v>98</v>
      </c>
      <c r="F200" s="18" t="s">
        <v>7</v>
      </c>
      <c r="G200" s="19" t="s">
        <v>16</v>
      </c>
      <c r="H200" s="20" t="s">
        <v>102</v>
      </c>
      <c r="I200" s="18" t="s">
        <v>27</v>
      </c>
      <c r="J200" t="s">
        <v>12</v>
      </c>
      <c r="K200" s="17" t="s">
        <v>103</v>
      </c>
      <c r="L200" s="18" t="s">
        <v>9</v>
      </c>
      <c r="M200" t="s">
        <v>18</v>
      </c>
    </row>
    <row r="201" spans="1:13" x14ac:dyDescent="0.25">
      <c r="A201" t="s">
        <v>67</v>
      </c>
      <c r="B201" s="16" t="s">
        <v>16</v>
      </c>
      <c r="C201" t="s">
        <v>18</v>
      </c>
      <c r="D201" t="str">
        <f t="shared" si="5"/>
        <v>MERCURY-Leo-Virgo</v>
      </c>
      <c r="E201" s="17" t="s">
        <v>100</v>
      </c>
      <c r="F201" s="18" t="s">
        <v>29</v>
      </c>
      <c r="G201" s="19" t="s">
        <v>16</v>
      </c>
      <c r="H201" s="20" t="s">
        <v>104</v>
      </c>
      <c r="I201" s="18" t="s">
        <v>25</v>
      </c>
      <c r="J201" t="s">
        <v>12</v>
      </c>
      <c r="K201" s="17" t="s">
        <v>98</v>
      </c>
      <c r="L201" s="18" t="s">
        <v>7</v>
      </c>
      <c r="M201" t="s">
        <v>18</v>
      </c>
    </row>
    <row r="202" spans="1:13" x14ac:dyDescent="0.25">
      <c r="A202" t="s">
        <v>67</v>
      </c>
      <c r="B202" s="16" t="s">
        <v>16</v>
      </c>
      <c r="C202" t="s">
        <v>10</v>
      </c>
      <c r="D202" t="str">
        <f t="shared" si="5"/>
        <v>MERCURY-Leo-Libra</v>
      </c>
      <c r="E202" s="17" t="s">
        <v>102</v>
      </c>
      <c r="F202" s="18" t="s">
        <v>27</v>
      </c>
      <c r="G202" s="19" t="s">
        <v>16</v>
      </c>
      <c r="H202" s="20" t="s">
        <v>105</v>
      </c>
      <c r="I202" s="18" t="s">
        <v>23</v>
      </c>
      <c r="J202" t="s">
        <v>12</v>
      </c>
      <c r="K202" s="17" t="s">
        <v>100</v>
      </c>
      <c r="L202" s="18" t="s">
        <v>29</v>
      </c>
      <c r="M202" t="s">
        <v>18</v>
      </c>
    </row>
    <row r="203" spans="1:13" x14ac:dyDescent="0.25">
      <c r="A203" t="s">
        <v>67</v>
      </c>
      <c r="B203" s="16" t="s">
        <v>16</v>
      </c>
      <c r="C203" t="s">
        <v>21</v>
      </c>
      <c r="D203" t="str">
        <f t="shared" si="5"/>
        <v>MERCURY-Leo-Scorpio</v>
      </c>
      <c r="E203" s="17" t="s">
        <v>104</v>
      </c>
      <c r="F203" s="18" t="s">
        <v>25</v>
      </c>
      <c r="G203" s="19" t="s">
        <v>16</v>
      </c>
      <c r="H203" s="20" t="s">
        <v>106</v>
      </c>
      <c r="I203" s="18" t="s">
        <v>21</v>
      </c>
      <c r="J203" t="s">
        <v>12</v>
      </c>
      <c r="K203" s="17" t="s">
        <v>102</v>
      </c>
      <c r="L203" s="18" t="s">
        <v>27</v>
      </c>
      <c r="M203" t="s">
        <v>18</v>
      </c>
    </row>
    <row r="204" spans="1:13" x14ac:dyDescent="0.25">
      <c r="A204" t="s">
        <v>67</v>
      </c>
      <c r="B204" s="16" t="s">
        <v>16</v>
      </c>
      <c r="C204" t="s">
        <v>23</v>
      </c>
      <c r="D204" t="str">
        <f t="shared" si="5"/>
        <v>MERCURY-Leo-Sagittarius</v>
      </c>
      <c r="E204" s="17" t="s">
        <v>105</v>
      </c>
      <c r="F204" s="18" t="s">
        <v>23</v>
      </c>
      <c r="G204" s="19" t="s">
        <v>16</v>
      </c>
      <c r="H204" s="20" t="s">
        <v>107</v>
      </c>
      <c r="I204" s="18" t="s">
        <v>10</v>
      </c>
      <c r="J204" t="s">
        <v>12</v>
      </c>
      <c r="K204" s="17" t="s">
        <v>104</v>
      </c>
      <c r="L204" s="18" t="s">
        <v>25</v>
      </c>
      <c r="M204" t="s">
        <v>18</v>
      </c>
    </row>
    <row r="205" spans="1:13" x14ac:dyDescent="0.25">
      <c r="A205" t="s">
        <v>67</v>
      </c>
      <c r="B205" s="16" t="s">
        <v>16</v>
      </c>
      <c r="C205" t="s">
        <v>25</v>
      </c>
      <c r="D205" t="str">
        <f t="shared" si="5"/>
        <v>MERCURY-Leo-Capricorn</v>
      </c>
      <c r="E205" s="17" t="s">
        <v>106</v>
      </c>
      <c r="F205" s="18" t="s">
        <v>21</v>
      </c>
      <c r="G205" s="19" t="s">
        <v>16</v>
      </c>
      <c r="H205" s="20" t="s">
        <v>108</v>
      </c>
      <c r="I205" s="18" t="s">
        <v>18</v>
      </c>
      <c r="J205" t="s">
        <v>12</v>
      </c>
      <c r="K205" s="17" t="s">
        <v>105</v>
      </c>
      <c r="L205" s="18" t="s">
        <v>23</v>
      </c>
      <c r="M205" t="s">
        <v>18</v>
      </c>
    </row>
    <row r="206" spans="1:13" x14ac:dyDescent="0.25">
      <c r="A206" t="s">
        <v>67</v>
      </c>
      <c r="B206" s="16" t="s">
        <v>16</v>
      </c>
      <c r="C206" t="s">
        <v>27</v>
      </c>
      <c r="D206" t="str">
        <f t="shared" si="5"/>
        <v>MERCURY-Leo-Aquarius</v>
      </c>
      <c r="E206" s="17" t="s">
        <v>107</v>
      </c>
      <c r="F206" s="18" t="s">
        <v>10</v>
      </c>
      <c r="G206" s="19" t="s">
        <v>16</v>
      </c>
      <c r="H206" s="20" t="s">
        <v>109</v>
      </c>
      <c r="I206" s="18" t="s">
        <v>16</v>
      </c>
      <c r="J206" t="s">
        <v>12</v>
      </c>
      <c r="K206" s="17" t="s">
        <v>106</v>
      </c>
      <c r="L206" s="18" t="s">
        <v>21</v>
      </c>
      <c r="M206" t="s">
        <v>18</v>
      </c>
    </row>
    <row r="207" spans="1:13" x14ac:dyDescent="0.25">
      <c r="A207" t="s">
        <v>67</v>
      </c>
      <c r="B207" s="16" t="s">
        <v>16</v>
      </c>
      <c r="C207" t="s">
        <v>29</v>
      </c>
      <c r="D207" t="str">
        <f t="shared" si="5"/>
        <v>MERCURY-Leo-Pisces</v>
      </c>
      <c r="E207" s="17" t="s">
        <v>108</v>
      </c>
      <c r="F207" s="18" t="s">
        <v>18</v>
      </c>
      <c r="G207" s="19" t="s">
        <v>16</v>
      </c>
      <c r="H207" s="20" t="s">
        <v>99</v>
      </c>
      <c r="I207" s="18" t="s">
        <v>14</v>
      </c>
      <c r="J207" t="s">
        <v>12</v>
      </c>
      <c r="K207" s="17" t="s">
        <v>107</v>
      </c>
      <c r="L207" s="18" t="s">
        <v>10</v>
      </c>
      <c r="M207" t="s">
        <v>18</v>
      </c>
    </row>
    <row r="208" spans="1:13" x14ac:dyDescent="0.25">
      <c r="A208" t="s">
        <v>67</v>
      </c>
      <c r="B208" s="16" t="s">
        <v>18</v>
      </c>
      <c r="C208" t="s">
        <v>7</v>
      </c>
      <c r="D208" t="str">
        <f t="shared" si="5"/>
        <v>MERCURY-Virgo-Aries</v>
      </c>
      <c r="E208" s="17" t="s">
        <v>108</v>
      </c>
      <c r="F208" s="18" t="s">
        <v>18</v>
      </c>
      <c r="G208" s="19" t="s">
        <v>18</v>
      </c>
      <c r="H208" s="20" t="s">
        <v>101</v>
      </c>
      <c r="I208" s="18" t="s">
        <v>12</v>
      </c>
      <c r="J208" t="s">
        <v>12</v>
      </c>
      <c r="K208" s="17" t="s">
        <v>108</v>
      </c>
      <c r="L208" s="18" t="s">
        <v>18</v>
      </c>
      <c r="M208" t="s">
        <v>18</v>
      </c>
    </row>
    <row r="209" spans="1:13" x14ac:dyDescent="0.25">
      <c r="A209" t="s">
        <v>67</v>
      </c>
      <c r="B209" s="16" t="s">
        <v>18</v>
      </c>
      <c r="C209" t="s">
        <v>9</v>
      </c>
      <c r="D209" t="str">
        <f t="shared" si="5"/>
        <v>MERCURY-Virgo-Taurus</v>
      </c>
      <c r="E209" s="17" t="s">
        <v>109</v>
      </c>
      <c r="F209" s="18" t="s">
        <v>16</v>
      </c>
      <c r="G209" s="19" t="s">
        <v>18</v>
      </c>
      <c r="H209" s="20" t="s">
        <v>103</v>
      </c>
      <c r="I209" s="18" t="s">
        <v>9</v>
      </c>
      <c r="J209" t="s">
        <v>12</v>
      </c>
      <c r="K209" s="17" t="s">
        <v>109</v>
      </c>
      <c r="L209" s="18" t="s">
        <v>16</v>
      </c>
      <c r="M209" t="s">
        <v>18</v>
      </c>
    </row>
    <row r="210" spans="1:13" x14ac:dyDescent="0.25">
      <c r="A210" t="s">
        <v>67</v>
      </c>
      <c r="B210" s="16" t="s">
        <v>18</v>
      </c>
      <c r="C210" t="s">
        <v>12</v>
      </c>
      <c r="D210" t="str">
        <f t="shared" si="5"/>
        <v>MERCURY-Virgo-Gemini</v>
      </c>
      <c r="E210" s="17" t="s">
        <v>99</v>
      </c>
      <c r="F210" s="18" t="s">
        <v>14</v>
      </c>
      <c r="G210" s="19" t="s">
        <v>18</v>
      </c>
      <c r="H210" s="20" t="s">
        <v>98</v>
      </c>
      <c r="I210" s="18" t="s">
        <v>7</v>
      </c>
      <c r="J210" t="s">
        <v>12</v>
      </c>
      <c r="K210" s="17" t="s">
        <v>99</v>
      </c>
      <c r="L210" s="18" t="s">
        <v>14</v>
      </c>
      <c r="M210" t="s">
        <v>18</v>
      </c>
    </row>
    <row r="211" spans="1:13" x14ac:dyDescent="0.25">
      <c r="A211" t="s">
        <v>67</v>
      </c>
      <c r="B211" s="16" t="s">
        <v>18</v>
      </c>
      <c r="C211" t="s">
        <v>14</v>
      </c>
      <c r="D211" t="str">
        <f t="shared" si="5"/>
        <v>MERCURY-Virgo-Cancer</v>
      </c>
      <c r="E211" s="17" t="s">
        <v>101</v>
      </c>
      <c r="F211" s="18" t="s">
        <v>12</v>
      </c>
      <c r="G211" s="19" t="s">
        <v>18</v>
      </c>
      <c r="H211" s="20" t="s">
        <v>100</v>
      </c>
      <c r="I211" s="18" t="s">
        <v>29</v>
      </c>
      <c r="J211" t="s">
        <v>12</v>
      </c>
      <c r="K211" s="17" t="s">
        <v>101</v>
      </c>
      <c r="L211" s="18" t="s">
        <v>12</v>
      </c>
      <c r="M211" t="s">
        <v>18</v>
      </c>
    </row>
    <row r="212" spans="1:13" x14ac:dyDescent="0.25">
      <c r="A212" t="s">
        <v>67</v>
      </c>
      <c r="B212" s="16" t="s">
        <v>18</v>
      </c>
      <c r="C212" t="s">
        <v>16</v>
      </c>
      <c r="D212" t="str">
        <f t="shared" si="5"/>
        <v>MERCURY-Virgo-Leo</v>
      </c>
      <c r="E212" s="17" t="s">
        <v>103</v>
      </c>
      <c r="F212" s="18" t="s">
        <v>9</v>
      </c>
      <c r="G212" s="19" t="s">
        <v>18</v>
      </c>
      <c r="H212" s="20" t="s">
        <v>102</v>
      </c>
      <c r="I212" s="18" t="s">
        <v>27</v>
      </c>
      <c r="J212" t="s">
        <v>12</v>
      </c>
      <c r="K212" s="17" t="s">
        <v>103</v>
      </c>
      <c r="L212" s="18" t="s">
        <v>9</v>
      </c>
      <c r="M212" t="s">
        <v>18</v>
      </c>
    </row>
    <row r="213" spans="1:13" x14ac:dyDescent="0.25">
      <c r="A213" t="s">
        <v>67</v>
      </c>
      <c r="B213" s="16" t="s">
        <v>18</v>
      </c>
      <c r="C213" t="s">
        <v>18</v>
      </c>
      <c r="D213" t="str">
        <f t="shared" ref="D213:D276" si="6">A213&amp;"-"&amp;B213&amp;"-"&amp;C213</f>
        <v>MERCURY-Virgo-Virgo</v>
      </c>
      <c r="E213" s="17" t="s">
        <v>98</v>
      </c>
      <c r="F213" s="18" t="s">
        <v>7</v>
      </c>
      <c r="G213" s="19" t="s">
        <v>18</v>
      </c>
      <c r="H213" s="20" t="s">
        <v>104</v>
      </c>
      <c r="I213" s="18" t="s">
        <v>25</v>
      </c>
      <c r="J213" t="s">
        <v>12</v>
      </c>
      <c r="K213" s="17" t="s">
        <v>98</v>
      </c>
      <c r="L213" s="18" t="s">
        <v>7</v>
      </c>
      <c r="M213" t="s">
        <v>18</v>
      </c>
    </row>
    <row r="214" spans="1:13" x14ac:dyDescent="0.25">
      <c r="A214" t="s">
        <v>67</v>
      </c>
      <c r="B214" s="16" t="s">
        <v>18</v>
      </c>
      <c r="C214" t="s">
        <v>10</v>
      </c>
      <c r="D214" t="str">
        <f t="shared" si="6"/>
        <v>MERCURY-Virgo-Libra</v>
      </c>
      <c r="E214" s="17" t="s">
        <v>100</v>
      </c>
      <c r="F214" s="18" t="s">
        <v>29</v>
      </c>
      <c r="G214" s="19" t="s">
        <v>18</v>
      </c>
      <c r="H214" s="20" t="s">
        <v>105</v>
      </c>
      <c r="I214" s="18" t="s">
        <v>23</v>
      </c>
      <c r="J214" t="s">
        <v>12</v>
      </c>
      <c r="K214" s="17" t="s">
        <v>100</v>
      </c>
      <c r="L214" s="18" t="s">
        <v>29</v>
      </c>
      <c r="M214" t="s">
        <v>18</v>
      </c>
    </row>
    <row r="215" spans="1:13" x14ac:dyDescent="0.25">
      <c r="A215" t="s">
        <v>67</v>
      </c>
      <c r="B215" s="16" t="s">
        <v>18</v>
      </c>
      <c r="C215" t="s">
        <v>21</v>
      </c>
      <c r="D215" t="str">
        <f t="shared" si="6"/>
        <v>MERCURY-Virgo-Scorpio</v>
      </c>
      <c r="E215" s="17" t="s">
        <v>102</v>
      </c>
      <c r="F215" s="18" t="s">
        <v>27</v>
      </c>
      <c r="G215" s="19" t="s">
        <v>18</v>
      </c>
      <c r="H215" s="20" t="s">
        <v>106</v>
      </c>
      <c r="I215" s="18" t="s">
        <v>21</v>
      </c>
      <c r="J215" t="s">
        <v>12</v>
      </c>
      <c r="K215" s="17" t="s">
        <v>102</v>
      </c>
      <c r="L215" s="18" t="s">
        <v>27</v>
      </c>
      <c r="M215" t="s">
        <v>18</v>
      </c>
    </row>
    <row r="216" spans="1:13" x14ac:dyDescent="0.25">
      <c r="A216" t="s">
        <v>67</v>
      </c>
      <c r="B216" s="16" t="s">
        <v>18</v>
      </c>
      <c r="C216" t="s">
        <v>23</v>
      </c>
      <c r="D216" t="str">
        <f t="shared" si="6"/>
        <v>MERCURY-Virgo-Sagittarius</v>
      </c>
      <c r="E216" s="17" t="s">
        <v>104</v>
      </c>
      <c r="F216" s="18" t="s">
        <v>25</v>
      </c>
      <c r="G216" s="19" t="s">
        <v>18</v>
      </c>
      <c r="H216" s="20" t="s">
        <v>107</v>
      </c>
      <c r="I216" s="18" t="s">
        <v>10</v>
      </c>
      <c r="J216" t="s">
        <v>12</v>
      </c>
      <c r="K216" s="17" t="s">
        <v>104</v>
      </c>
      <c r="L216" s="18" t="s">
        <v>25</v>
      </c>
      <c r="M216" t="s">
        <v>18</v>
      </c>
    </row>
    <row r="217" spans="1:13" x14ac:dyDescent="0.25">
      <c r="A217" t="s">
        <v>67</v>
      </c>
      <c r="B217" s="16" t="s">
        <v>18</v>
      </c>
      <c r="C217" t="s">
        <v>25</v>
      </c>
      <c r="D217" t="str">
        <f t="shared" si="6"/>
        <v>MERCURY-Virgo-Capricorn</v>
      </c>
      <c r="E217" s="17" t="s">
        <v>105</v>
      </c>
      <c r="F217" s="18" t="s">
        <v>23</v>
      </c>
      <c r="G217" s="19" t="s">
        <v>18</v>
      </c>
      <c r="H217" s="20" t="s">
        <v>108</v>
      </c>
      <c r="I217" s="18" t="s">
        <v>18</v>
      </c>
      <c r="J217" t="s">
        <v>12</v>
      </c>
      <c r="K217" s="17" t="s">
        <v>105</v>
      </c>
      <c r="L217" s="18" t="s">
        <v>23</v>
      </c>
      <c r="M217" t="s">
        <v>18</v>
      </c>
    </row>
    <row r="218" spans="1:13" x14ac:dyDescent="0.25">
      <c r="A218" t="s">
        <v>67</v>
      </c>
      <c r="B218" s="16" t="s">
        <v>18</v>
      </c>
      <c r="C218" t="s">
        <v>27</v>
      </c>
      <c r="D218" t="str">
        <f t="shared" si="6"/>
        <v>MERCURY-Virgo-Aquarius</v>
      </c>
      <c r="E218" s="17" t="s">
        <v>106</v>
      </c>
      <c r="F218" s="18" t="s">
        <v>21</v>
      </c>
      <c r="G218" s="19" t="s">
        <v>18</v>
      </c>
      <c r="H218" s="20" t="s">
        <v>109</v>
      </c>
      <c r="I218" s="18" t="s">
        <v>16</v>
      </c>
      <c r="J218" t="s">
        <v>12</v>
      </c>
      <c r="K218" s="17" t="s">
        <v>106</v>
      </c>
      <c r="L218" s="18" t="s">
        <v>21</v>
      </c>
      <c r="M218" t="s">
        <v>18</v>
      </c>
    </row>
    <row r="219" spans="1:13" x14ac:dyDescent="0.25">
      <c r="A219" t="s">
        <v>67</v>
      </c>
      <c r="B219" s="16" t="s">
        <v>18</v>
      </c>
      <c r="C219" t="s">
        <v>29</v>
      </c>
      <c r="D219" t="str">
        <f t="shared" si="6"/>
        <v>MERCURY-Virgo-Pisces</v>
      </c>
      <c r="E219" s="17" t="s">
        <v>107</v>
      </c>
      <c r="F219" s="18" t="s">
        <v>10</v>
      </c>
      <c r="G219" s="19" t="s">
        <v>18</v>
      </c>
      <c r="H219" s="20" t="s">
        <v>99</v>
      </c>
      <c r="I219" s="18" t="s">
        <v>14</v>
      </c>
      <c r="J219" t="s">
        <v>12</v>
      </c>
      <c r="K219" s="17" t="s">
        <v>107</v>
      </c>
      <c r="L219" s="18" t="s">
        <v>10</v>
      </c>
      <c r="M219" t="s">
        <v>18</v>
      </c>
    </row>
    <row r="220" spans="1:13" x14ac:dyDescent="0.25">
      <c r="A220" t="s">
        <v>67</v>
      </c>
      <c r="B220" s="16" t="s">
        <v>10</v>
      </c>
      <c r="C220" t="s">
        <v>7</v>
      </c>
      <c r="D220" t="str">
        <f t="shared" si="6"/>
        <v>MERCURY-Libra-Aries</v>
      </c>
      <c r="E220" s="17" t="s">
        <v>107</v>
      </c>
      <c r="F220" s="18" t="s">
        <v>10</v>
      </c>
      <c r="G220" s="19" t="s">
        <v>10</v>
      </c>
      <c r="H220" s="20" t="s">
        <v>101</v>
      </c>
      <c r="I220" s="18" t="s">
        <v>12</v>
      </c>
      <c r="J220" t="s">
        <v>12</v>
      </c>
      <c r="K220" s="17" t="s">
        <v>108</v>
      </c>
      <c r="L220" s="18" t="s">
        <v>18</v>
      </c>
      <c r="M220" t="s">
        <v>18</v>
      </c>
    </row>
    <row r="221" spans="1:13" x14ac:dyDescent="0.25">
      <c r="A221" t="s">
        <v>67</v>
      </c>
      <c r="B221" s="16" t="s">
        <v>10</v>
      </c>
      <c r="C221" t="s">
        <v>9</v>
      </c>
      <c r="D221" t="str">
        <f t="shared" si="6"/>
        <v>MERCURY-Libra-Taurus</v>
      </c>
      <c r="E221" s="17" t="s">
        <v>108</v>
      </c>
      <c r="F221" s="18" t="s">
        <v>18</v>
      </c>
      <c r="G221" s="19" t="s">
        <v>10</v>
      </c>
      <c r="H221" s="20" t="s">
        <v>103</v>
      </c>
      <c r="I221" s="18" t="s">
        <v>9</v>
      </c>
      <c r="J221" t="s">
        <v>12</v>
      </c>
      <c r="K221" s="17" t="s">
        <v>109</v>
      </c>
      <c r="L221" s="18" t="s">
        <v>16</v>
      </c>
      <c r="M221" t="s">
        <v>18</v>
      </c>
    </row>
    <row r="222" spans="1:13" x14ac:dyDescent="0.25">
      <c r="A222" t="s">
        <v>67</v>
      </c>
      <c r="B222" s="16" t="s">
        <v>10</v>
      </c>
      <c r="C222" t="s">
        <v>12</v>
      </c>
      <c r="D222" t="str">
        <f t="shared" si="6"/>
        <v>MERCURY-Libra-Gemini</v>
      </c>
      <c r="E222" s="17" t="s">
        <v>109</v>
      </c>
      <c r="F222" s="18" t="s">
        <v>16</v>
      </c>
      <c r="G222" s="19" t="s">
        <v>10</v>
      </c>
      <c r="H222" s="20" t="s">
        <v>98</v>
      </c>
      <c r="I222" s="18" t="s">
        <v>7</v>
      </c>
      <c r="J222" t="s">
        <v>12</v>
      </c>
      <c r="K222" s="17" t="s">
        <v>99</v>
      </c>
      <c r="L222" s="18" t="s">
        <v>14</v>
      </c>
      <c r="M222" t="s">
        <v>18</v>
      </c>
    </row>
    <row r="223" spans="1:13" x14ac:dyDescent="0.25">
      <c r="A223" t="s">
        <v>67</v>
      </c>
      <c r="B223" s="16" t="s">
        <v>10</v>
      </c>
      <c r="C223" t="s">
        <v>14</v>
      </c>
      <c r="D223" t="str">
        <f t="shared" si="6"/>
        <v>MERCURY-Libra-Cancer</v>
      </c>
      <c r="E223" s="17" t="s">
        <v>99</v>
      </c>
      <c r="F223" s="18" t="s">
        <v>14</v>
      </c>
      <c r="G223" s="19" t="s">
        <v>10</v>
      </c>
      <c r="H223" s="20" t="s">
        <v>100</v>
      </c>
      <c r="I223" s="18" t="s">
        <v>29</v>
      </c>
      <c r="J223" t="s">
        <v>12</v>
      </c>
      <c r="K223" s="17" t="s">
        <v>101</v>
      </c>
      <c r="L223" s="18" t="s">
        <v>12</v>
      </c>
      <c r="M223" t="s">
        <v>18</v>
      </c>
    </row>
    <row r="224" spans="1:13" x14ac:dyDescent="0.25">
      <c r="A224" t="s">
        <v>67</v>
      </c>
      <c r="B224" s="16" t="s">
        <v>10</v>
      </c>
      <c r="C224" t="s">
        <v>16</v>
      </c>
      <c r="D224" t="str">
        <f t="shared" si="6"/>
        <v>MERCURY-Libra-Leo</v>
      </c>
      <c r="E224" s="17" t="s">
        <v>101</v>
      </c>
      <c r="F224" s="18" t="s">
        <v>12</v>
      </c>
      <c r="G224" s="19" t="s">
        <v>10</v>
      </c>
      <c r="H224" s="20" t="s">
        <v>102</v>
      </c>
      <c r="I224" s="18" t="s">
        <v>27</v>
      </c>
      <c r="J224" t="s">
        <v>12</v>
      </c>
      <c r="K224" s="17" t="s">
        <v>103</v>
      </c>
      <c r="L224" s="18" t="s">
        <v>9</v>
      </c>
      <c r="M224" t="s">
        <v>18</v>
      </c>
    </row>
    <row r="225" spans="1:13" x14ac:dyDescent="0.25">
      <c r="A225" t="s">
        <v>67</v>
      </c>
      <c r="B225" s="16" t="s">
        <v>10</v>
      </c>
      <c r="C225" t="s">
        <v>18</v>
      </c>
      <c r="D225" t="str">
        <f t="shared" si="6"/>
        <v>MERCURY-Libra-Virgo</v>
      </c>
      <c r="E225" s="17" t="s">
        <v>103</v>
      </c>
      <c r="F225" s="18" t="s">
        <v>9</v>
      </c>
      <c r="G225" s="19" t="s">
        <v>10</v>
      </c>
      <c r="H225" s="20" t="s">
        <v>104</v>
      </c>
      <c r="I225" s="18" t="s">
        <v>25</v>
      </c>
      <c r="J225" t="s">
        <v>12</v>
      </c>
      <c r="K225" s="17" t="s">
        <v>98</v>
      </c>
      <c r="L225" s="18" t="s">
        <v>7</v>
      </c>
      <c r="M225" t="s">
        <v>18</v>
      </c>
    </row>
    <row r="226" spans="1:13" x14ac:dyDescent="0.25">
      <c r="A226" t="s">
        <v>67</v>
      </c>
      <c r="B226" s="16" t="s">
        <v>10</v>
      </c>
      <c r="C226" t="s">
        <v>10</v>
      </c>
      <c r="D226" t="str">
        <f t="shared" si="6"/>
        <v>MERCURY-Libra-Libra</v>
      </c>
      <c r="E226" s="17" t="s">
        <v>98</v>
      </c>
      <c r="F226" s="18" t="s">
        <v>7</v>
      </c>
      <c r="G226" s="19" t="s">
        <v>10</v>
      </c>
      <c r="H226" s="20" t="s">
        <v>105</v>
      </c>
      <c r="I226" s="18" t="s">
        <v>23</v>
      </c>
      <c r="J226" t="s">
        <v>12</v>
      </c>
      <c r="K226" s="17" t="s">
        <v>100</v>
      </c>
      <c r="L226" s="18" t="s">
        <v>29</v>
      </c>
      <c r="M226" t="s">
        <v>18</v>
      </c>
    </row>
    <row r="227" spans="1:13" x14ac:dyDescent="0.25">
      <c r="A227" t="s">
        <v>67</v>
      </c>
      <c r="B227" s="16" t="s">
        <v>10</v>
      </c>
      <c r="C227" t="s">
        <v>21</v>
      </c>
      <c r="D227" t="str">
        <f t="shared" si="6"/>
        <v>MERCURY-Libra-Scorpio</v>
      </c>
      <c r="E227" s="17" t="s">
        <v>100</v>
      </c>
      <c r="F227" s="18" t="s">
        <v>29</v>
      </c>
      <c r="G227" s="19" t="s">
        <v>10</v>
      </c>
      <c r="H227" s="20" t="s">
        <v>106</v>
      </c>
      <c r="I227" s="18" t="s">
        <v>21</v>
      </c>
      <c r="J227" t="s">
        <v>12</v>
      </c>
      <c r="K227" s="17" t="s">
        <v>102</v>
      </c>
      <c r="L227" s="18" t="s">
        <v>27</v>
      </c>
      <c r="M227" t="s">
        <v>18</v>
      </c>
    </row>
    <row r="228" spans="1:13" x14ac:dyDescent="0.25">
      <c r="A228" t="s">
        <v>67</v>
      </c>
      <c r="B228" s="16" t="s">
        <v>10</v>
      </c>
      <c r="C228" t="s">
        <v>23</v>
      </c>
      <c r="D228" t="str">
        <f t="shared" si="6"/>
        <v>MERCURY-Libra-Sagittarius</v>
      </c>
      <c r="E228" s="17" t="s">
        <v>102</v>
      </c>
      <c r="F228" s="18" t="s">
        <v>27</v>
      </c>
      <c r="G228" s="19" t="s">
        <v>10</v>
      </c>
      <c r="H228" s="20" t="s">
        <v>107</v>
      </c>
      <c r="I228" s="18" t="s">
        <v>10</v>
      </c>
      <c r="J228" t="s">
        <v>12</v>
      </c>
      <c r="K228" s="17" t="s">
        <v>104</v>
      </c>
      <c r="L228" s="18" t="s">
        <v>25</v>
      </c>
      <c r="M228" t="s">
        <v>18</v>
      </c>
    </row>
    <row r="229" spans="1:13" x14ac:dyDescent="0.25">
      <c r="A229" t="s">
        <v>67</v>
      </c>
      <c r="B229" s="16" t="s">
        <v>10</v>
      </c>
      <c r="C229" t="s">
        <v>25</v>
      </c>
      <c r="D229" t="str">
        <f t="shared" si="6"/>
        <v>MERCURY-Libra-Capricorn</v>
      </c>
      <c r="E229" s="17" t="s">
        <v>104</v>
      </c>
      <c r="F229" s="18" t="s">
        <v>25</v>
      </c>
      <c r="G229" s="19" t="s">
        <v>10</v>
      </c>
      <c r="H229" s="20" t="s">
        <v>108</v>
      </c>
      <c r="I229" s="18" t="s">
        <v>18</v>
      </c>
      <c r="J229" t="s">
        <v>12</v>
      </c>
      <c r="K229" s="17" t="s">
        <v>105</v>
      </c>
      <c r="L229" s="18" t="s">
        <v>23</v>
      </c>
      <c r="M229" t="s">
        <v>18</v>
      </c>
    </row>
    <row r="230" spans="1:13" x14ac:dyDescent="0.25">
      <c r="A230" t="s">
        <v>67</v>
      </c>
      <c r="B230" s="16" t="s">
        <v>10</v>
      </c>
      <c r="C230" t="s">
        <v>27</v>
      </c>
      <c r="D230" t="str">
        <f t="shared" si="6"/>
        <v>MERCURY-Libra-Aquarius</v>
      </c>
      <c r="E230" s="17" t="s">
        <v>105</v>
      </c>
      <c r="F230" s="18" t="s">
        <v>23</v>
      </c>
      <c r="G230" s="19" t="s">
        <v>10</v>
      </c>
      <c r="H230" s="20" t="s">
        <v>109</v>
      </c>
      <c r="I230" s="18" t="s">
        <v>16</v>
      </c>
      <c r="J230" t="s">
        <v>12</v>
      </c>
      <c r="K230" s="17" t="s">
        <v>106</v>
      </c>
      <c r="L230" s="18" t="s">
        <v>21</v>
      </c>
      <c r="M230" t="s">
        <v>18</v>
      </c>
    </row>
    <row r="231" spans="1:13" x14ac:dyDescent="0.25">
      <c r="A231" t="s">
        <v>67</v>
      </c>
      <c r="B231" s="16" t="s">
        <v>10</v>
      </c>
      <c r="C231" t="s">
        <v>29</v>
      </c>
      <c r="D231" t="str">
        <f t="shared" si="6"/>
        <v>MERCURY-Libra-Pisces</v>
      </c>
      <c r="E231" s="17" t="s">
        <v>106</v>
      </c>
      <c r="F231" s="18" t="s">
        <v>21</v>
      </c>
      <c r="G231" s="19" t="s">
        <v>10</v>
      </c>
      <c r="H231" s="20" t="s">
        <v>99</v>
      </c>
      <c r="I231" s="18" t="s">
        <v>14</v>
      </c>
      <c r="J231" t="s">
        <v>12</v>
      </c>
      <c r="K231" s="17" t="s">
        <v>107</v>
      </c>
      <c r="L231" s="18" t="s">
        <v>10</v>
      </c>
      <c r="M231" t="s">
        <v>18</v>
      </c>
    </row>
    <row r="232" spans="1:13" x14ac:dyDescent="0.25">
      <c r="A232" t="s">
        <v>67</v>
      </c>
      <c r="B232" s="16" t="s">
        <v>21</v>
      </c>
      <c r="C232" t="s">
        <v>7</v>
      </c>
      <c r="D232" t="str">
        <f t="shared" si="6"/>
        <v>MERCURY-Scorpio-Aries</v>
      </c>
      <c r="E232" s="17" t="s">
        <v>106</v>
      </c>
      <c r="F232" s="18" t="s">
        <v>21</v>
      </c>
      <c r="G232" s="19" t="s">
        <v>21</v>
      </c>
      <c r="H232" s="20" t="s">
        <v>101</v>
      </c>
      <c r="I232" s="18" t="s">
        <v>12</v>
      </c>
      <c r="J232" t="s">
        <v>12</v>
      </c>
      <c r="K232" s="17" t="s">
        <v>108</v>
      </c>
      <c r="L232" s="18" t="s">
        <v>18</v>
      </c>
      <c r="M232" t="s">
        <v>18</v>
      </c>
    </row>
    <row r="233" spans="1:13" x14ac:dyDescent="0.25">
      <c r="A233" t="s">
        <v>67</v>
      </c>
      <c r="B233" s="16" t="s">
        <v>21</v>
      </c>
      <c r="C233" t="s">
        <v>9</v>
      </c>
      <c r="D233" t="str">
        <f t="shared" si="6"/>
        <v>MERCURY-Scorpio-Taurus</v>
      </c>
      <c r="E233" s="17" t="s">
        <v>107</v>
      </c>
      <c r="F233" s="18" t="s">
        <v>10</v>
      </c>
      <c r="G233" s="19" t="s">
        <v>21</v>
      </c>
      <c r="H233" s="20" t="s">
        <v>103</v>
      </c>
      <c r="I233" s="18" t="s">
        <v>9</v>
      </c>
      <c r="J233" t="s">
        <v>12</v>
      </c>
      <c r="K233" s="17" t="s">
        <v>109</v>
      </c>
      <c r="L233" s="18" t="s">
        <v>16</v>
      </c>
      <c r="M233" t="s">
        <v>18</v>
      </c>
    </row>
    <row r="234" spans="1:13" x14ac:dyDescent="0.25">
      <c r="A234" t="s">
        <v>67</v>
      </c>
      <c r="B234" s="16" t="s">
        <v>21</v>
      </c>
      <c r="C234" t="s">
        <v>12</v>
      </c>
      <c r="D234" t="str">
        <f t="shared" si="6"/>
        <v>MERCURY-Scorpio-Gemini</v>
      </c>
      <c r="E234" s="17" t="s">
        <v>108</v>
      </c>
      <c r="F234" s="18" t="s">
        <v>18</v>
      </c>
      <c r="G234" s="19" t="s">
        <v>21</v>
      </c>
      <c r="H234" s="20" t="s">
        <v>98</v>
      </c>
      <c r="I234" s="18" t="s">
        <v>7</v>
      </c>
      <c r="J234" t="s">
        <v>12</v>
      </c>
      <c r="K234" s="17" t="s">
        <v>99</v>
      </c>
      <c r="L234" s="18" t="s">
        <v>14</v>
      </c>
      <c r="M234" t="s">
        <v>18</v>
      </c>
    </row>
    <row r="235" spans="1:13" x14ac:dyDescent="0.25">
      <c r="A235" t="s">
        <v>67</v>
      </c>
      <c r="B235" s="16" t="s">
        <v>21</v>
      </c>
      <c r="C235" t="s">
        <v>14</v>
      </c>
      <c r="D235" t="str">
        <f t="shared" si="6"/>
        <v>MERCURY-Scorpio-Cancer</v>
      </c>
      <c r="E235" s="17" t="s">
        <v>109</v>
      </c>
      <c r="F235" s="18" t="s">
        <v>16</v>
      </c>
      <c r="G235" s="19" t="s">
        <v>21</v>
      </c>
      <c r="H235" s="20" t="s">
        <v>100</v>
      </c>
      <c r="I235" s="18" t="s">
        <v>29</v>
      </c>
      <c r="J235" t="s">
        <v>12</v>
      </c>
      <c r="K235" s="17" t="s">
        <v>101</v>
      </c>
      <c r="L235" s="18" t="s">
        <v>12</v>
      </c>
      <c r="M235" t="s">
        <v>18</v>
      </c>
    </row>
    <row r="236" spans="1:13" x14ac:dyDescent="0.25">
      <c r="A236" t="s">
        <v>67</v>
      </c>
      <c r="B236" s="16" t="s">
        <v>21</v>
      </c>
      <c r="C236" t="s">
        <v>16</v>
      </c>
      <c r="D236" t="str">
        <f t="shared" si="6"/>
        <v>MERCURY-Scorpio-Leo</v>
      </c>
      <c r="E236" s="17" t="s">
        <v>99</v>
      </c>
      <c r="F236" s="18" t="s">
        <v>14</v>
      </c>
      <c r="G236" s="19" t="s">
        <v>21</v>
      </c>
      <c r="H236" s="20" t="s">
        <v>102</v>
      </c>
      <c r="I236" s="18" t="s">
        <v>27</v>
      </c>
      <c r="J236" t="s">
        <v>12</v>
      </c>
      <c r="K236" s="17" t="s">
        <v>103</v>
      </c>
      <c r="L236" s="18" t="s">
        <v>9</v>
      </c>
      <c r="M236" t="s">
        <v>18</v>
      </c>
    </row>
    <row r="237" spans="1:13" x14ac:dyDescent="0.25">
      <c r="A237" t="s">
        <v>67</v>
      </c>
      <c r="B237" s="16" t="s">
        <v>21</v>
      </c>
      <c r="C237" t="s">
        <v>18</v>
      </c>
      <c r="D237" t="str">
        <f t="shared" si="6"/>
        <v>MERCURY-Scorpio-Virgo</v>
      </c>
      <c r="E237" s="17" t="s">
        <v>101</v>
      </c>
      <c r="F237" s="18" t="s">
        <v>12</v>
      </c>
      <c r="G237" s="19" t="s">
        <v>21</v>
      </c>
      <c r="H237" s="20" t="s">
        <v>104</v>
      </c>
      <c r="I237" s="18" t="s">
        <v>25</v>
      </c>
      <c r="J237" t="s">
        <v>12</v>
      </c>
      <c r="K237" s="17" t="s">
        <v>98</v>
      </c>
      <c r="L237" s="18" t="s">
        <v>7</v>
      </c>
      <c r="M237" t="s">
        <v>18</v>
      </c>
    </row>
    <row r="238" spans="1:13" x14ac:dyDescent="0.25">
      <c r="A238" t="s">
        <v>67</v>
      </c>
      <c r="B238" s="16" t="s">
        <v>21</v>
      </c>
      <c r="C238" t="s">
        <v>10</v>
      </c>
      <c r="D238" t="str">
        <f t="shared" si="6"/>
        <v>MERCURY-Scorpio-Libra</v>
      </c>
      <c r="E238" s="17" t="s">
        <v>103</v>
      </c>
      <c r="F238" s="18" t="s">
        <v>9</v>
      </c>
      <c r="G238" s="19" t="s">
        <v>21</v>
      </c>
      <c r="H238" s="20" t="s">
        <v>105</v>
      </c>
      <c r="I238" s="18" t="s">
        <v>23</v>
      </c>
      <c r="J238" t="s">
        <v>12</v>
      </c>
      <c r="K238" s="17" t="s">
        <v>100</v>
      </c>
      <c r="L238" s="18" t="s">
        <v>29</v>
      </c>
      <c r="M238" t="s">
        <v>18</v>
      </c>
    </row>
    <row r="239" spans="1:13" x14ac:dyDescent="0.25">
      <c r="A239" t="s">
        <v>67</v>
      </c>
      <c r="B239" s="16" t="s">
        <v>21</v>
      </c>
      <c r="C239" t="s">
        <v>21</v>
      </c>
      <c r="D239" t="str">
        <f t="shared" si="6"/>
        <v>MERCURY-Scorpio-Scorpio</v>
      </c>
      <c r="E239" s="17" t="s">
        <v>98</v>
      </c>
      <c r="F239" s="18" t="s">
        <v>7</v>
      </c>
      <c r="G239" s="19" t="s">
        <v>21</v>
      </c>
      <c r="H239" s="20" t="s">
        <v>106</v>
      </c>
      <c r="I239" s="18" t="s">
        <v>21</v>
      </c>
      <c r="J239" t="s">
        <v>12</v>
      </c>
      <c r="K239" s="17" t="s">
        <v>102</v>
      </c>
      <c r="L239" s="18" t="s">
        <v>27</v>
      </c>
      <c r="M239" t="s">
        <v>18</v>
      </c>
    </row>
    <row r="240" spans="1:13" x14ac:dyDescent="0.25">
      <c r="A240" t="s">
        <v>67</v>
      </c>
      <c r="B240" s="16" t="s">
        <v>21</v>
      </c>
      <c r="C240" t="s">
        <v>23</v>
      </c>
      <c r="D240" t="str">
        <f t="shared" si="6"/>
        <v>MERCURY-Scorpio-Sagittarius</v>
      </c>
      <c r="E240" s="17" t="s">
        <v>100</v>
      </c>
      <c r="F240" s="18" t="s">
        <v>29</v>
      </c>
      <c r="G240" s="19" t="s">
        <v>21</v>
      </c>
      <c r="H240" s="20" t="s">
        <v>107</v>
      </c>
      <c r="I240" s="18" t="s">
        <v>10</v>
      </c>
      <c r="J240" t="s">
        <v>12</v>
      </c>
      <c r="K240" s="17" t="s">
        <v>104</v>
      </c>
      <c r="L240" s="18" t="s">
        <v>25</v>
      </c>
      <c r="M240" t="s">
        <v>18</v>
      </c>
    </row>
    <row r="241" spans="1:13" x14ac:dyDescent="0.25">
      <c r="A241" t="s">
        <v>67</v>
      </c>
      <c r="B241" s="16" t="s">
        <v>21</v>
      </c>
      <c r="C241" t="s">
        <v>25</v>
      </c>
      <c r="D241" t="str">
        <f t="shared" si="6"/>
        <v>MERCURY-Scorpio-Capricorn</v>
      </c>
      <c r="E241" s="17" t="s">
        <v>102</v>
      </c>
      <c r="F241" s="18" t="s">
        <v>27</v>
      </c>
      <c r="G241" s="19" t="s">
        <v>21</v>
      </c>
      <c r="H241" s="20" t="s">
        <v>108</v>
      </c>
      <c r="I241" s="18" t="s">
        <v>18</v>
      </c>
      <c r="J241" t="s">
        <v>12</v>
      </c>
      <c r="K241" s="17" t="s">
        <v>105</v>
      </c>
      <c r="L241" s="18" t="s">
        <v>23</v>
      </c>
      <c r="M241" t="s">
        <v>18</v>
      </c>
    </row>
    <row r="242" spans="1:13" x14ac:dyDescent="0.25">
      <c r="A242" t="s">
        <v>67</v>
      </c>
      <c r="B242" s="16" t="s">
        <v>21</v>
      </c>
      <c r="C242" t="s">
        <v>27</v>
      </c>
      <c r="D242" t="str">
        <f t="shared" si="6"/>
        <v>MERCURY-Scorpio-Aquarius</v>
      </c>
      <c r="E242" s="17" t="s">
        <v>104</v>
      </c>
      <c r="F242" s="18" t="s">
        <v>25</v>
      </c>
      <c r="G242" s="19" t="s">
        <v>21</v>
      </c>
      <c r="H242" s="20" t="s">
        <v>109</v>
      </c>
      <c r="I242" s="18" t="s">
        <v>16</v>
      </c>
      <c r="J242" t="s">
        <v>12</v>
      </c>
      <c r="K242" s="17" t="s">
        <v>106</v>
      </c>
      <c r="L242" s="18" t="s">
        <v>21</v>
      </c>
      <c r="M242" t="s">
        <v>18</v>
      </c>
    </row>
    <row r="243" spans="1:13" x14ac:dyDescent="0.25">
      <c r="A243" t="s">
        <v>67</v>
      </c>
      <c r="B243" s="16" t="s">
        <v>21</v>
      </c>
      <c r="C243" t="s">
        <v>29</v>
      </c>
      <c r="D243" t="str">
        <f t="shared" si="6"/>
        <v>MERCURY-Scorpio-Pisces</v>
      </c>
      <c r="E243" s="17" t="s">
        <v>105</v>
      </c>
      <c r="F243" s="18" t="s">
        <v>23</v>
      </c>
      <c r="G243" s="19" t="s">
        <v>21</v>
      </c>
      <c r="H243" s="20" t="s">
        <v>99</v>
      </c>
      <c r="I243" s="18" t="s">
        <v>14</v>
      </c>
      <c r="J243" t="s">
        <v>12</v>
      </c>
      <c r="K243" s="17" t="s">
        <v>107</v>
      </c>
      <c r="L243" s="18" t="s">
        <v>10</v>
      </c>
      <c r="M243" t="s">
        <v>18</v>
      </c>
    </row>
    <row r="244" spans="1:13" x14ac:dyDescent="0.25">
      <c r="A244" t="s">
        <v>67</v>
      </c>
      <c r="B244" s="16" t="s">
        <v>23</v>
      </c>
      <c r="C244" t="s">
        <v>7</v>
      </c>
      <c r="D244" t="str">
        <f t="shared" si="6"/>
        <v>MERCURY-Sagittarius-Aries</v>
      </c>
      <c r="E244" s="17" t="s">
        <v>105</v>
      </c>
      <c r="F244" s="18" t="s">
        <v>23</v>
      </c>
      <c r="G244" s="19" t="s">
        <v>23</v>
      </c>
      <c r="H244" s="20" t="s">
        <v>101</v>
      </c>
      <c r="I244" s="18" t="s">
        <v>12</v>
      </c>
      <c r="J244" t="s">
        <v>12</v>
      </c>
      <c r="K244" s="17" t="s">
        <v>108</v>
      </c>
      <c r="L244" s="18" t="s">
        <v>18</v>
      </c>
      <c r="M244" t="s">
        <v>18</v>
      </c>
    </row>
    <row r="245" spans="1:13" x14ac:dyDescent="0.25">
      <c r="A245" t="s">
        <v>67</v>
      </c>
      <c r="B245" s="16" t="s">
        <v>23</v>
      </c>
      <c r="C245" t="s">
        <v>9</v>
      </c>
      <c r="D245" t="str">
        <f t="shared" si="6"/>
        <v>MERCURY-Sagittarius-Taurus</v>
      </c>
      <c r="E245" s="17" t="s">
        <v>106</v>
      </c>
      <c r="F245" s="18" t="s">
        <v>21</v>
      </c>
      <c r="G245" s="19" t="s">
        <v>23</v>
      </c>
      <c r="H245" s="20" t="s">
        <v>103</v>
      </c>
      <c r="I245" s="18" t="s">
        <v>9</v>
      </c>
      <c r="J245" t="s">
        <v>12</v>
      </c>
      <c r="K245" s="17" t="s">
        <v>109</v>
      </c>
      <c r="L245" s="18" t="s">
        <v>16</v>
      </c>
      <c r="M245" t="s">
        <v>18</v>
      </c>
    </row>
    <row r="246" spans="1:13" x14ac:dyDescent="0.25">
      <c r="A246" t="s">
        <v>67</v>
      </c>
      <c r="B246" s="16" t="s">
        <v>23</v>
      </c>
      <c r="C246" t="s">
        <v>12</v>
      </c>
      <c r="D246" t="str">
        <f t="shared" si="6"/>
        <v>MERCURY-Sagittarius-Gemini</v>
      </c>
      <c r="E246" s="17" t="s">
        <v>107</v>
      </c>
      <c r="F246" s="18" t="s">
        <v>10</v>
      </c>
      <c r="G246" s="19" t="s">
        <v>23</v>
      </c>
      <c r="H246" s="20" t="s">
        <v>98</v>
      </c>
      <c r="I246" s="18" t="s">
        <v>7</v>
      </c>
      <c r="J246" t="s">
        <v>12</v>
      </c>
      <c r="K246" s="17" t="s">
        <v>99</v>
      </c>
      <c r="L246" s="18" t="s">
        <v>14</v>
      </c>
      <c r="M246" t="s">
        <v>18</v>
      </c>
    </row>
    <row r="247" spans="1:13" x14ac:dyDescent="0.25">
      <c r="A247" t="s">
        <v>67</v>
      </c>
      <c r="B247" s="16" t="s">
        <v>23</v>
      </c>
      <c r="C247" t="s">
        <v>14</v>
      </c>
      <c r="D247" t="str">
        <f t="shared" si="6"/>
        <v>MERCURY-Sagittarius-Cancer</v>
      </c>
      <c r="E247" s="17" t="s">
        <v>108</v>
      </c>
      <c r="F247" s="18" t="s">
        <v>18</v>
      </c>
      <c r="G247" s="19" t="s">
        <v>23</v>
      </c>
      <c r="H247" s="20" t="s">
        <v>100</v>
      </c>
      <c r="I247" s="18" t="s">
        <v>29</v>
      </c>
      <c r="J247" t="s">
        <v>12</v>
      </c>
      <c r="K247" s="17" t="s">
        <v>101</v>
      </c>
      <c r="L247" s="18" t="s">
        <v>12</v>
      </c>
      <c r="M247" t="s">
        <v>18</v>
      </c>
    </row>
    <row r="248" spans="1:13" x14ac:dyDescent="0.25">
      <c r="A248" t="s">
        <v>67</v>
      </c>
      <c r="B248" s="16" t="s">
        <v>23</v>
      </c>
      <c r="C248" t="s">
        <v>16</v>
      </c>
      <c r="D248" t="str">
        <f t="shared" si="6"/>
        <v>MERCURY-Sagittarius-Leo</v>
      </c>
      <c r="E248" s="17" t="s">
        <v>109</v>
      </c>
      <c r="F248" s="18" t="s">
        <v>16</v>
      </c>
      <c r="G248" s="19" t="s">
        <v>23</v>
      </c>
      <c r="H248" s="20" t="s">
        <v>102</v>
      </c>
      <c r="I248" s="18" t="s">
        <v>27</v>
      </c>
      <c r="J248" t="s">
        <v>12</v>
      </c>
      <c r="K248" s="17" t="s">
        <v>103</v>
      </c>
      <c r="L248" s="18" t="s">
        <v>9</v>
      </c>
      <c r="M248" t="s">
        <v>18</v>
      </c>
    </row>
    <row r="249" spans="1:13" x14ac:dyDescent="0.25">
      <c r="A249" t="s">
        <v>67</v>
      </c>
      <c r="B249" s="16" t="s">
        <v>23</v>
      </c>
      <c r="C249" t="s">
        <v>18</v>
      </c>
      <c r="D249" t="str">
        <f t="shared" si="6"/>
        <v>MERCURY-Sagittarius-Virgo</v>
      </c>
      <c r="E249" s="17" t="s">
        <v>99</v>
      </c>
      <c r="F249" s="18" t="s">
        <v>14</v>
      </c>
      <c r="G249" s="19" t="s">
        <v>23</v>
      </c>
      <c r="H249" s="20" t="s">
        <v>104</v>
      </c>
      <c r="I249" s="18" t="s">
        <v>25</v>
      </c>
      <c r="J249" t="s">
        <v>12</v>
      </c>
      <c r="K249" s="17" t="s">
        <v>98</v>
      </c>
      <c r="L249" s="18" t="s">
        <v>7</v>
      </c>
      <c r="M249" t="s">
        <v>18</v>
      </c>
    </row>
    <row r="250" spans="1:13" x14ac:dyDescent="0.25">
      <c r="A250" t="s">
        <v>67</v>
      </c>
      <c r="B250" s="16" t="s">
        <v>23</v>
      </c>
      <c r="C250" t="s">
        <v>10</v>
      </c>
      <c r="D250" t="str">
        <f t="shared" si="6"/>
        <v>MERCURY-Sagittarius-Libra</v>
      </c>
      <c r="E250" s="17" t="s">
        <v>101</v>
      </c>
      <c r="F250" s="18" t="s">
        <v>12</v>
      </c>
      <c r="G250" s="19" t="s">
        <v>23</v>
      </c>
      <c r="H250" s="20" t="s">
        <v>105</v>
      </c>
      <c r="I250" s="18" t="s">
        <v>23</v>
      </c>
      <c r="J250" t="s">
        <v>12</v>
      </c>
      <c r="K250" s="17" t="s">
        <v>100</v>
      </c>
      <c r="L250" s="18" t="s">
        <v>29</v>
      </c>
      <c r="M250" t="s">
        <v>18</v>
      </c>
    </row>
    <row r="251" spans="1:13" x14ac:dyDescent="0.25">
      <c r="A251" t="s">
        <v>67</v>
      </c>
      <c r="B251" s="16" t="s">
        <v>23</v>
      </c>
      <c r="C251" t="s">
        <v>21</v>
      </c>
      <c r="D251" t="str">
        <f t="shared" si="6"/>
        <v>MERCURY-Sagittarius-Scorpio</v>
      </c>
      <c r="E251" s="17" t="s">
        <v>103</v>
      </c>
      <c r="F251" s="18" t="s">
        <v>9</v>
      </c>
      <c r="G251" s="19" t="s">
        <v>23</v>
      </c>
      <c r="H251" s="20" t="s">
        <v>106</v>
      </c>
      <c r="I251" s="18" t="s">
        <v>21</v>
      </c>
      <c r="J251" t="s">
        <v>12</v>
      </c>
      <c r="K251" s="17" t="s">
        <v>102</v>
      </c>
      <c r="L251" s="18" t="s">
        <v>27</v>
      </c>
      <c r="M251" t="s">
        <v>18</v>
      </c>
    </row>
    <row r="252" spans="1:13" x14ac:dyDescent="0.25">
      <c r="A252" t="s">
        <v>67</v>
      </c>
      <c r="B252" s="16" t="s">
        <v>23</v>
      </c>
      <c r="C252" t="s">
        <v>23</v>
      </c>
      <c r="D252" t="str">
        <f t="shared" si="6"/>
        <v>MERCURY-Sagittarius-Sagittarius</v>
      </c>
      <c r="E252" s="17" t="s">
        <v>98</v>
      </c>
      <c r="F252" s="18" t="s">
        <v>7</v>
      </c>
      <c r="G252" s="19" t="s">
        <v>23</v>
      </c>
      <c r="H252" s="20" t="s">
        <v>107</v>
      </c>
      <c r="I252" s="18" t="s">
        <v>10</v>
      </c>
      <c r="J252" t="s">
        <v>12</v>
      </c>
      <c r="K252" s="17" t="s">
        <v>104</v>
      </c>
      <c r="L252" s="18" t="s">
        <v>25</v>
      </c>
      <c r="M252" t="s">
        <v>18</v>
      </c>
    </row>
    <row r="253" spans="1:13" x14ac:dyDescent="0.25">
      <c r="A253" t="s">
        <v>67</v>
      </c>
      <c r="B253" s="16" t="s">
        <v>23</v>
      </c>
      <c r="C253" t="s">
        <v>25</v>
      </c>
      <c r="D253" t="str">
        <f t="shared" si="6"/>
        <v>MERCURY-Sagittarius-Capricorn</v>
      </c>
      <c r="E253" s="17" t="s">
        <v>100</v>
      </c>
      <c r="F253" s="18" t="s">
        <v>29</v>
      </c>
      <c r="G253" s="19" t="s">
        <v>23</v>
      </c>
      <c r="H253" s="20" t="s">
        <v>108</v>
      </c>
      <c r="I253" s="18" t="s">
        <v>18</v>
      </c>
      <c r="J253" t="s">
        <v>12</v>
      </c>
      <c r="K253" s="17" t="s">
        <v>105</v>
      </c>
      <c r="L253" s="18" t="s">
        <v>23</v>
      </c>
      <c r="M253" t="s">
        <v>18</v>
      </c>
    </row>
    <row r="254" spans="1:13" x14ac:dyDescent="0.25">
      <c r="A254" t="s">
        <v>67</v>
      </c>
      <c r="B254" s="16" t="s">
        <v>23</v>
      </c>
      <c r="C254" t="s">
        <v>27</v>
      </c>
      <c r="D254" t="str">
        <f t="shared" si="6"/>
        <v>MERCURY-Sagittarius-Aquarius</v>
      </c>
      <c r="E254" s="17" t="s">
        <v>102</v>
      </c>
      <c r="F254" s="18" t="s">
        <v>27</v>
      </c>
      <c r="G254" s="19" t="s">
        <v>23</v>
      </c>
      <c r="H254" s="20" t="s">
        <v>109</v>
      </c>
      <c r="I254" s="18" t="s">
        <v>16</v>
      </c>
      <c r="J254" t="s">
        <v>12</v>
      </c>
      <c r="K254" s="17" t="s">
        <v>106</v>
      </c>
      <c r="L254" s="18" t="s">
        <v>21</v>
      </c>
      <c r="M254" t="s">
        <v>18</v>
      </c>
    </row>
    <row r="255" spans="1:13" x14ac:dyDescent="0.25">
      <c r="A255" t="s">
        <v>67</v>
      </c>
      <c r="B255" s="16" t="s">
        <v>23</v>
      </c>
      <c r="C255" t="s">
        <v>29</v>
      </c>
      <c r="D255" t="str">
        <f t="shared" si="6"/>
        <v>MERCURY-Sagittarius-Pisces</v>
      </c>
      <c r="E255" s="17" t="s">
        <v>104</v>
      </c>
      <c r="F255" s="18" t="s">
        <v>25</v>
      </c>
      <c r="G255" s="19" t="s">
        <v>23</v>
      </c>
      <c r="H255" s="20" t="s">
        <v>99</v>
      </c>
      <c r="I255" s="18" t="s">
        <v>14</v>
      </c>
      <c r="J255" t="s">
        <v>12</v>
      </c>
      <c r="K255" s="17" t="s">
        <v>107</v>
      </c>
      <c r="L255" s="18" t="s">
        <v>10</v>
      </c>
      <c r="M255" t="s">
        <v>18</v>
      </c>
    </row>
    <row r="256" spans="1:13" x14ac:dyDescent="0.25">
      <c r="A256" t="s">
        <v>67</v>
      </c>
      <c r="B256" s="16" t="s">
        <v>25</v>
      </c>
      <c r="C256" t="s">
        <v>7</v>
      </c>
      <c r="D256" t="str">
        <f t="shared" si="6"/>
        <v>MERCURY-Capricorn-Aries</v>
      </c>
      <c r="E256" s="17" t="s">
        <v>104</v>
      </c>
      <c r="F256" s="18" t="s">
        <v>25</v>
      </c>
      <c r="G256" s="19" t="s">
        <v>25</v>
      </c>
      <c r="H256" s="20" t="s">
        <v>101</v>
      </c>
      <c r="I256" s="18" t="s">
        <v>12</v>
      </c>
      <c r="J256" t="s">
        <v>12</v>
      </c>
      <c r="K256" s="17" t="s">
        <v>108</v>
      </c>
      <c r="L256" s="18" t="s">
        <v>18</v>
      </c>
      <c r="M256" t="s">
        <v>18</v>
      </c>
    </row>
    <row r="257" spans="1:13" x14ac:dyDescent="0.25">
      <c r="A257" t="s">
        <v>67</v>
      </c>
      <c r="B257" s="16" t="s">
        <v>25</v>
      </c>
      <c r="C257" t="s">
        <v>9</v>
      </c>
      <c r="D257" t="str">
        <f t="shared" si="6"/>
        <v>MERCURY-Capricorn-Taurus</v>
      </c>
      <c r="E257" s="17" t="s">
        <v>105</v>
      </c>
      <c r="F257" s="18" t="s">
        <v>23</v>
      </c>
      <c r="G257" s="19" t="s">
        <v>25</v>
      </c>
      <c r="H257" s="20" t="s">
        <v>103</v>
      </c>
      <c r="I257" s="18" t="s">
        <v>9</v>
      </c>
      <c r="J257" t="s">
        <v>12</v>
      </c>
      <c r="K257" s="17" t="s">
        <v>109</v>
      </c>
      <c r="L257" s="18" t="s">
        <v>16</v>
      </c>
      <c r="M257" t="s">
        <v>18</v>
      </c>
    </row>
    <row r="258" spans="1:13" x14ac:dyDescent="0.25">
      <c r="A258" t="s">
        <v>67</v>
      </c>
      <c r="B258" s="16" t="s">
        <v>25</v>
      </c>
      <c r="C258" t="s">
        <v>12</v>
      </c>
      <c r="D258" t="str">
        <f t="shared" si="6"/>
        <v>MERCURY-Capricorn-Gemini</v>
      </c>
      <c r="E258" s="17" t="s">
        <v>106</v>
      </c>
      <c r="F258" s="18" t="s">
        <v>21</v>
      </c>
      <c r="G258" s="19" t="s">
        <v>25</v>
      </c>
      <c r="H258" s="20" t="s">
        <v>98</v>
      </c>
      <c r="I258" s="18" t="s">
        <v>7</v>
      </c>
      <c r="J258" t="s">
        <v>12</v>
      </c>
      <c r="K258" s="17" t="s">
        <v>99</v>
      </c>
      <c r="L258" s="18" t="s">
        <v>14</v>
      </c>
      <c r="M258" t="s">
        <v>18</v>
      </c>
    </row>
    <row r="259" spans="1:13" x14ac:dyDescent="0.25">
      <c r="A259" t="s">
        <v>67</v>
      </c>
      <c r="B259" s="16" t="s">
        <v>25</v>
      </c>
      <c r="C259" t="s">
        <v>14</v>
      </c>
      <c r="D259" t="str">
        <f t="shared" si="6"/>
        <v>MERCURY-Capricorn-Cancer</v>
      </c>
      <c r="E259" s="17" t="s">
        <v>107</v>
      </c>
      <c r="F259" s="18" t="s">
        <v>10</v>
      </c>
      <c r="G259" s="19" t="s">
        <v>25</v>
      </c>
      <c r="H259" s="20" t="s">
        <v>100</v>
      </c>
      <c r="I259" s="18" t="s">
        <v>29</v>
      </c>
      <c r="J259" t="s">
        <v>12</v>
      </c>
      <c r="K259" s="17" t="s">
        <v>101</v>
      </c>
      <c r="L259" s="18" t="s">
        <v>12</v>
      </c>
      <c r="M259" t="s">
        <v>18</v>
      </c>
    </row>
    <row r="260" spans="1:13" x14ac:dyDescent="0.25">
      <c r="A260" t="s">
        <v>67</v>
      </c>
      <c r="B260" s="16" t="s">
        <v>25</v>
      </c>
      <c r="C260" t="s">
        <v>16</v>
      </c>
      <c r="D260" t="str">
        <f t="shared" si="6"/>
        <v>MERCURY-Capricorn-Leo</v>
      </c>
      <c r="E260" s="17" t="s">
        <v>108</v>
      </c>
      <c r="F260" s="18" t="s">
        <v>18</v>
      </c>
      <c r="G260" s="19" t="s">
        <v>25</v>
      </c>
      <c r="H260" s="20" t="s">
        <v>102</v>
      </c>
      <c r="I260" s="18" t="s">
        <v>27</v>
      </c>
      <c r="J260" t="s">
        <v>12</v>
      </c>
      <c r="K260" s="17" t="s">
        <v>103</v>
      </c>
      <c r="L260" s="18" t="s">
        <v>9</v>
      </c>
      <c r="M260" t="s">
        <v>18</v>
      </c>
    </row>
    <row r="261" spans="1:13" x14ac:dyDescent="0.25">
      <c r="A261" t="s">
        <v>67</v>
      </c>
      <c r="B261" s="16" t="s">
        <v>25</v>
      </c>
      <c r="C261" t="s">
        <v>18</v>
      </c>
      <c r="D261" t="str">
        <f t="shared" si="6"/>
        <v>MERCURY-Capricorn-Virgo</v>
      </c>
      <c r="E261" s="17" t="s">
        <v>109</v>
      </c>
      <c r="F261" s="18" t="s">
        <v>16</v>
      </c>
      <c r="G261" s="19" t="s">
        <v>25</v>
      </c>
      <c r="H261" s="20" t="s">
        <v>104</v>
      </c>
      <c r="I261" s="18" t="s">
        <v>25</v>
      </c>
      <c r="J261" t="s">
        <v>12</v>
      </c>
      <c r="K261" s="17" t="s">
        <v>98</v>
      </c>
      <c r="L261" s="18" t="s">
        <v>7</v>
      </c>
      <c r="M261" t="s">
        <v>18</v>
      </c>
    </row>
    <row r="262" spans="1:13" x14ac:dyDescent="0.25">
      <c r="A262" t="s">
        <v>67</v>
      </c>
      <c r="B262" s="16" t="s">
        <v>25</v>
      </c>
      <c r="C262" t="s">
        <v>10</v>
      </c>
      <c r="D262" t="str">
        <f t="shared" si="6"/>
        <v>MERCURY-Capricorn-Libra</v>
      </c>
      <c r="E262" s="17" t="s">
        <v>99</v>
      </c>
      <c r="F262" s="18" t="s">
        <v>14</v>
      </c>
      <c r="G262" s="19" t="s">
        <v>25</v>
      </c>
      <c r="H262" s="20" t="s">
        <v>105</v>
      </c>
      <c r="I262" s="18" t="s">
        <v>23</v>
      </c>
      <c r="J262" t="s">
        <v>12</v>
      </c>
      <c r="K262" s="17" t="s">
        <v>100</v>
      </c>
      <c r="L262" s="18" t="s">
        <v>29</v>
      </c>
      <c r="M262" t="s">
        <v>18</v>
      </c>
    </row>
    <row r="263" spans="1:13" x14ac:dyDescent="0.25">
      <c r="A263" t="s">
        <v>67</v>
      </c>
      <c r="B263" s="16" t="s">
        <v>25</v>
      </c>
      <c r="C263" t="s">
        <v>21</v>
      </c>
      <c r="D263" t="str">
        <f t="shared" si="6"/>
        <v>MERCURY-Capricorn-Scorpio</v>
      </c>
      <c r="E263" s="17" t="s">
        <v>101</v>
      </c>
      <c r="F263" s="18" t="s">
        <v>12</v>
      </c>
      <c r="G263" s="19" t="s">
        <v>25</v>
      </c>
      <c r="H263" s="20" t="s">
        <v>106</v>
      </c>
      <c r="I263" s="18" t="s">
        <v>21</v>
      </c>
      <c r="J263" t="s">
        <v>12</v>
      </c>
      <c r="K263" s="17" t="s">
        <v>102</v>
      </c>
      <c r="L263" s="18" t="s">
        <v>27</v>
      </c>
      <c r="M263" t="s">
        <v>18</v>
      </c>
    </row>
    <row r="264" spans="1:13" x14ac:dyDescent="0.25">
      <c r="A264" t="s">
        <v>67</v>
      </c>
      <c r="B264" s="16" t="s">
        <v>25</v>
      </c>
      <c r="C264" t="s">
        <v>23</v>
      </c>
      <c r="D264" t="str">
        <f t="shared" si="6"/>
        <v>MERCURY-Capricorn-Sagittarius</v>
      </c>
      <c r="E264" s="17" t="s">
        <v>103</v>
      </c>
      <c r="F264" s="18" t="s">
        <v>9</v>
      </c>
      <c r="G264" s="19" t="s">
        <v>25</v>
      </c>
      <c r="H264" s="20" t="s">
        <v>107</v>
      </c>
      <c r="I264" s="18" t="s">
        <v>10</v>
      </c>
      <c r="J264" t="s">
        <v>12</v>
      </c>
      <c r="K264" s="17" t="s">
        <v>104</v>
      </c>
      <c r="L264" s="18" t="s">
        <v>25</v>
      </c>
      <c r="M264" t="s">
        <v>18</v>
      </c>
    </row>
    <row r="265" spans="1:13" x14ac:dyDescent="0.25">
      <c r="A265" t="s">
        <v>67</v>
      </c>
      <c r="B265" s="16" t="s">
        <v>25</v>
      </c>
      <c r="C265" t="s">
        <v>25</v>
      </c>
      <c r="D265" t="str">
        <f t="shared" si="6"/>
        <v>MERCURY-Capricorn-Capricorn</v>
      </c>
      <c r="E265" s="17" t="s">
        <v>98</v>
      </c>
      <c r="F265" s="18" t="s">
        <v>7</v>
      </c>
      <c r="G265" s="19" t="s">
        <v>25</v>
      </c>
      <c r="H265" s="20" t="s">
        <v>108</v>
      </c>
      <c r="I265" s="18" t="s">
        <v>18</v>
      </c>
      <c r="J265" t="s">
        <v>12</v>
      </c>
      <c r="K265" s="17" t="s">
        <v>105</v>
      </c>
      <c r="L265" s="18" t="s">
        <v>23</v>
      </c>
      <c r="M265" t="s">
        <v>18</v>
      </c>
    </row>
    <row r="266" spans="1:13" x14ac:dyDescent="0.25">
      <c r="A266" t="s">
        <v>67</v>
      </c>
      <c r="B266" s="16" t="s">
        <v>25</v>
      </c>
      <c r="C266" t="s">
        <v>27</v>
      </c>
      <c r="D266" t="str">
        <f t="shared" si="6"/>
        <v>MERCURY-Capricorn-Aquarius</v>
      </c>
      <c r="E266" s="17" t="s">
        <v>100</v>
      </c>
      <c r="F266" s="18" t="s">
        <v>29</v>
      </c>
      <c r="G266" s="19" t="s">
        <v>25</v>
      </c>
      <c r="H266" s="20" t="s">
        <v>109</v>
      </c>
      <c r="I266" s="18" t="s">
        <v>16</v>
      </c>
      <c r="J266" t="s">
        <v>12</v>
      </c>
      <c r="K266" s="17" t="s">
        <v>106</v>
      </c>
      <c r="L266" s="18" t="s">
        <v>21</v>
      </c>
      <c r="M266" t="s">
        <v>18</v>
      </c>
    </row>
    <row r="267" spans="1:13" x14ac:dyDescent="0.25">
      <c r="A267" t="s">
        <v>67</v>
      </c>
      <c r="B267" s="16" t="s">
        <v>25</v>
      </c>
      <c r="C267" t="s">
        <v>29</v>
      </c>
      <c r="D267" t="str">
        <f t="shared" si="6"/>
        <v>MERCURY-Capricorn-Pisces</v>
      </c>
      <c r="E267" s="17" t="s">
        <v>102</v>
      </c>
      <c r="F267" s="18" t="s">
        <v>27</v>
      </c>
      <c r="G267" s="19" t="s">
        <v>25</v>
      </c>
      <c r="H267" s="20" t="s">
        <v>99</v>
      </c>
      <c r="I267" s="18" t="s">
        <v>14</v>
      </c>
      <c r="J267" t="s">
        <v>12</v>
      </c>
      <c r="K267" s="17" t="s">
        <v>107</v>
      </c>
      <c r="L267" s="18" t="s">
        <v>10</v>
      </c>
      <c r="M267" t="s">
        <v>18</v>
      </c>
    </row>
    <row r="268" spans="1:13" x14ac:dyDescent="0.25">
      <c r="A268" t="s">
        <v>67</v>
      </c>
      <c r="B268" s="16" t="s">
        <v>27</v>
      </c>
      <c r="C268" t="s">
        <v>7</v>
      </c>
      <c r="D268" t="str">
        <f t="shared" si="6"/>
        <v>MERCURY-Aquarius-Aries</v>
      </c>
      <c r="E268" s="17" t="s">
        <v>102</v>
      </c>
      <c r="F268" s="18" t="s">
        <v>27</v>
      </c>
      <c r="G268" s="19" t="s">
        <v>27</v>
      </c>
      <c r="H268" s="20" t="s">
        <v>101</v>
      </c>
      <c r="I268" s="18" t="s">
        <v>12</v>
      </c>
      <c r="J268" t="s">
        <v>12</v>
      </c>
      <c r="K268" s="17" t="s">
        <v>108</v>
      </c>
      <c r="L268" s="18" t="s">
        <v>18</v>
      </c>
      <c r="M268" t="s">
        <v>18</v>
      </c>
    </row>
    <row r="269" spans="1:13" x14ac:dyDescent="0.25">
      <c r="A269" t="s">
        <v>67</v>
      </c>
      <c r="B269" s="16" t="s">
        <v>27</v>
      </c>
      <c r="C269" t="s">
        <v>9</v>
      </c>
      <c r="D269" t="str">
        <f t="shared" si="6"/>
        <v>MERCURY-Aquarius-Taurus</v>
      </c>
      <c r="E269" s="17" t="s">
        <v>104</v>
      </c>
      <c r="F269" s="18" t="s">
        <v>25</v>
      </c>
      <c r="G269" s="19" t="s">
        <v>27</v>
      </c>
      <c r="H269" s="20" t="s">
        <v>103</v>
      </c>
      <c r="I269" s="18" t="s">
        <v>9</v>
      </c>
      <c r="J269" t="s">
        <v>12</v>
      </c>
      <c r="K269" s="17" t="s">
        <v>109</v>
      </c>
      <c r="L269" s="18" t="s">
        <v>16</v>
      </c>
      <c r="M269" t="s">
        <v>18</v>
      </c>
    </row>
    <row r="270" spans="1:13" x14ac:dyDescent="0.25">
      <c r="A270" t="s">
        <v>67</v>
      </c>
      <c r="B270" s="16" t="s">
        <v>27</v>
      </c>
      <c r="C270" t="s">
        <v>12</v>
      </c>
      <c r="D270" t="str">
        <f t="shared" si="6"/>
        <v>MERCURY-Aquarius-Gemini</v>
      </c>
      <c r="E270" s="17" t="s">
        <v>105</v>
      </c>
      <c r="F270" s="18" t="s">
        <v>23</v>
      </c>
      <c r="G270" s="19" t="s">
        <v>27</v>
      </c>
      <c r="H270" s="20" t="s">
        <v>98</v>
      </c>
      <c r="I270" s="18" t="s">
        <v>7</v>
      </c>
      <c r="J270" t="s">
        <v>12</v>
      </c>
      <c r="K270" s="17" t="s">
        <v>99</v>
      </c>
      <c r="L270" s="18" t="s">
        <v>14</v>
      </c>
      <c r="M270" t="s">
        <v>18</v>
      </c>
    </row>
    <row r="271" spans="1:13" x14ac:dyDescent="0.25">
      <c r="A271" t="s">
        <v>67</v>
      </c>
      <c r="B271" s="16" t="s">
        <v>27</v>
      </c>
      <c r="C271" t="s">
        <v>14</v>
      </c>
      <c r="D271" t="str">
        <f t="shared" si="6"/>
        <v>MERCURY-Aquarius-Cancer</v>
      </c>
      <c r="E271" s="17" t="s">
        <v>106</v>
      </c>
      <c r="F271" s="18" t="s">
        <v>21</v>
      </c>
      <c r="G271" s="19" t="s">
        <v>27</v>
      </c>
      <c r="H271" s="20" t="s">
        <v>100</v>
      </c>
      <c r="I271" s="18" t="s">
        <v>29</v>
      </c>
      <c r="J271" t="s">
        <v>12</v>
      </c>
      <c r="K271" s="17" t="s">
        <v>101</v>
      </c>
      <c r="L271" s="18" t="s">
        <v>12</v>
      </c>
      <c r="M271" t="s">
        <v>18</v>
      </c>
    </row>
    <row r="272" spans="1:13" x14ac:dyDescent="0.25">
      <c r="A272" t="s">
        <v>67</v>
      </c>
      <c r="B272" s="16" t="s">
        <v>27</v>
      </c>
      <c r="C272" t="s">
        <v>16</v>
      </c>
      <c r="D272" t="str">
        <f t="shared" si="6"/>
        <v>MERCURY-Aquarius-Leo</v>
      </c>
      <c r="E272" s="17" t="s">
        <v>107</v>
      </c>
      <c r="F272" s="18" t="s">
        <v>10</v>
      </c>
      <c r="G272" s="19" t="s">
        <v>27</v>
      </c>
      <c r="H272" s="20" t="s">
        <v>102</v>
      </c>
      <c r="I272" s="18" t="s">
        <v>27</v>
      </c>
      <c r="J272" t="s">
        <v>12</v>
      </c>
      <c r="K272" s="17" t="s">
        <v>103</v>
      </c>
      <c r="L272" s="18" t="s">
        <v>9</v>
      </c>
      <c r="M272" t="s">
        <v>18</v>
      </c>
    </row>
    <row r="273" spans="1:13" x14ac:dyDescent="0.25">
      <c r="A273" t="s">
        <v>67</v>
      </c>
      <c r="B273" s="16" t="s">
        <v>27</v>
      </c>
      <c r="C273" t="s">
        <v>18</v>
      </c>
      <c r="D273" t="str">
        <f t="shared" si="6"/>
        <v>MERCURY-Aquarius-Virgo</v>
      </c>
      <c r="E273" s="17" t="s">
        <v>108</v>
      </c>
      <c r="F273" s="18" t="s">
        <v>18</v>
      </c>
      <c r="G273" s="19" t="s">
        <v>27</v>
      </c>
      <c r="H273" s="20" t="s">
        <v>104</v>
      </c>
      <c r="I273" s="18" t="s">
        <v>25</v>
      </c>
      <c r="J273" t="s">
        <v>12</v>
      </c>
      <c r="K273" s="17" t="s">
        <v>98</v>
      </c>
      <c r="L273" s="18" t="s">
        <v>7</v>
      </c>
      <c r="M273" t="s">
        <v>18</v>
      </c>
    </row>
    <row r="274" spans="1:13" x14ac:dyDescent="0.25">
      <c r="A274" t="s">
        <v>67</v>
      </c>
      <c r="B274" s="16" t="s">
        <v>27</v>
      </c>
      <c r="C274" t="s">
        <v>10</v>
      </c>
      <c r="D274" t="str">
        <f t="shared" si="6"/>
        <v>MERCURY-Aquarius-Libra</v>
      </c>
      <c r="E274" s="17" t="s">
        <v>109</v>
      </c>
      <c r="F274" s="18" t="s">
        <v>16</v>
      </c>
      <c r="G274" s="19" t="s">
        <v>27</v>
      </c>
      <c r="H274" s="20" t="s">
        <v>105</v>
      </c>
      <c r="I274" s="18" t="s">
        <v>23</v>
      </c>
      <c r="J274" t="s">
        <v>12</v>
      </c>
      <c r="K274" s="17" t="s">
        <v>100</v>
      </c>
      <c r="L274" s="18" t="s">
        <v>29</v>
      </c>
      <c r="M274" t="s">
        <v>18</v>
      </c>
    </row>
    <row r="275" spans="1:13" x14ac:dyDescent="0.25">
      <c r="A275" t="s">
        <v>67</v>
      </c>
      <c r="B275" s="16" t="s">
        <v>27</v>
      </c>
      <c r="C275" t="s">
        <v>21</v>
      </c>
      <c r="D275" t="str">
        <f t="shared" si="6"/>
        <v>MERCURY-Aquarius-Scorpio</v>
      </c>
      <c r="E275" s="17" t="s">
        <v>99</v>
      </c>
      <c r="F275" s="18" t="s">
        <v>14</v>
      </c>
      <c r="G275" s="19" t="s">
        <v>27</v>
      </c>
      <c r="H275" s="20" t="s">
        <v>106</v>
      </c>
      <c r="I275" s="18" t="s">
        <v>21</v>
      </c>
      <c r="J275" t="s">
        <v>12</v>
      </c>
      <c r="K275" s="17" t="s">
        <v>102</v>
      </c>
      <c r="L275" s="18" t="s">
        <v>27</v>
      </c>
      <c r="M275" t="s">
        <v>18</v>
      </c>
    </row>
    <row r="276" spans="1:13" x14ac:dyDescent="0.25">
      <c r="A276" t="s">
        <v>67</v>
      </c>
      <c r="B276" s="16" t="s">
        <v>27</v>
      </c>
      <c r="C276" t="s">
        <v>23</v>
      </c>
      <c r="D276" t="str">
        <f t="shared" si="6"/>
        <v>MERCURY-Aquarius-Sagittarius</v>
      </c>
      <c r="E276" s="17" t="s">
        <v>101</v>
      </c>
      <c r="F276" s="18" t="s">
        <v>12</v>
      </c>
      <c r="G276" s="19" t="s">
        <v>27</v>
      </c>
      <c r="H276" s="20" t="s">
        <v>107</v>
      </c>
      <c r="I276" s="18" t="s">
        <v>10</v>
      </c>
      <c r="J276" t="s">
        <v>12</v>
      </c>
      <c r="K276" s="17" t="s">
        <v>104</v>
      </c>
      <c r="L276" s="18" t="s">
        <v>25</v>
      </c>
      <c r="M276" t="s">
        <v>18</v>
      </c>
    </row>
    <row r="277" spans="1:13" x14ac:dyDescent="0.25">
      <c r="A277" t="s">
        <v>67</v>
      </c>
      <c r="B277" s="16" t="s">
        <v>27</v>
      </c>
      <c r="C277" t="s">
        <v>25</v>
      </c>
      <c r="D277" t="str">
        <f t="shared" ref="D277:D291" si="7">A277&amp;"-"&amp;B277&amp;"-"&amp;C277</f>
        <v>MERCURY-Aquarius-Capricorn</v>
      </c>
      <c r="E277" s="17" t="s">
        <v>103</v>
      </c>
      <c r="F277" s="18" t="s">
        <v>9</v>
      </c>
      <c r="G277" s="19" t="s">
        <v>27</v>
      </c>
      <c r="H277" s="20" t="s">
        <v>108</v>
      </c>
      <c r="I277" s="18" t="s">
        <v>18</v>
      </c>
      <c r="J277" t="s">
        <v>12</v>
      </c>
      <c r="K277" s="17" t="s">
        <v>105</v>
      </c>
      <c r="L277" s="18" t="s">
        <v>23</v>
      </c>
      <c r="M277" t="s">
        <v>18</v>
      </c>
    </row>
    <row r="278" spans="1:13" x14ac:dyDescent="0.25">
      <c r="A278" t="s">
        <v>67</v>
      </c>
      <c r="B278" s="16" t="s">
        <v>27</v>
      </c>
      <c r="C278" t="s">
        <v>27</v>
      </c>
      <c r="D278" t="str">
        <f t="shared" si="7"/>
        <v>MERCURY-Aquarius-Aquarius</v>
      </c>
      <c r="E278" s="17" t="s">
        <v>98</v>
      </c>
      <c r="F278" s="18" t="s">
        <v>7</v>
      </c>
      <c r="G278" s="19" t="s">
        <v>27</v>
      </c>
      <c r="H278" s="20" t="s">
        <v>109</v>
      </c>
      <c r="I278" s="18" t="s">
        <v>16</v>
      </c>
      <c r="J278" t="s">
        <v>12</v>
      </c>
      <c r="K278" s="17" t="s">
        <v>106</v>
      </c>
      <c r="L278" s="18" t="s">
        <v>21</v>
      </c>
      <c r="M278" t="s">
        <v>18</v>
      </c>
    </row>
    <row r="279" spans="1:13" x14ac:dyDescent="0.25">
      <c r="A279" t="s">
        <v>67</v>
      </c>
      <c r="B279" s="16" t="s">
        <v>27</v>
      </c>
      <c r="C279" t="s">
        <v>29</v>
      </c>
      <c r="D279" t="str">
        <f t="shared" si="7"/>
        <v>MERCURY-Aquarius-Pisces</v>
      </c>
      <c r="E279" s="17" t="s">
        <v>100</v>
      </c>
      <c r="F279" s="18" t="s">
        <v>29</v>
      </c>
      <c r="G279" s="19" t="s">
        <v>27</v>
      </c>
      <c r="H279" s="20" t="s">
        <v>99</v>
      </c>
      <c r="I279" s="18" t="s">
        <v>14</v>
      </c>
      <c r="J279" t="s">
        <v>12</v>
      </c>
      <c r="K279" s="17" t="s">
        <v>107</v>
      </c>
      <c r="L279" s="18" t="s">
        <v>10</v>
      </c>
      <c r="M279" t="s">
        <v>18</v>
      </c>
    </row>
    <row r="280" spans="1:13" x14ac:dyDescent="0.25">
      <c r="A280" t="s">
        <v>67</v>
      </c>
      <c r="B280" s="16" t="s">
        <v>29</v>
      </c>
      <c r="C280" t="s">
        <v>7</v>
      </c>
      <c r="D280" t="str">
        <f t="shared" si="7"/>
        <v>MERCURY-Pisces-Aries</v>
      </c>
      <c r="E280" s="17" t="s">
        <v>100</v>
      </c>
      <c r="F280" s="18" t="s">
        <v>29</v>
      </c>
      <c r="G280" s="19" t="s">
        <v>29</v>
      </c>
      <c r="H280" s="20" t="s">
        <v>101</v>
      </c>
      <c r="I280" s="18" t="s">
        <v>12</v>
      </c>
      <c r="J280" t="s">
        <v>12</v>
      </c>
      <c r="K280" s="17" t="s">
        <v>108</v>
      </c>
      <c r="L280" s="18" t="s">
        <v>18</v>
      </c>
      <c r="M280" t="s">
        <v>18</v>
      </c>
    </row>
    <row r="281" spans="1:13" x14ac:dyDescent="0.25">
      <c r="A281" t="s">
        <v>67</v>
      </c>
      <c r="B281" s="16" t="s">
        <v>29</v>
      </c>
      <c r="C281" t="s">
        <v>9</v>
      </c>
      <c r="D281" t="str">
        <f t="shared" si="7"/>
        <v>MERCURY-Pisces-Taurus</v>
      </c>
      <c r="E281" s="17" t="s">
        <v>102</v>
      </c>
      <c r="F281" s="18" t="s">
        <v>27</v>
      </c>
      <c r="G281" s="19" t="s">
        <v>29</v>
      </c>
      <c r="H281" s="20" t="s">
        <v>103</v>
      </c>
      <c r="I281" s="18" t="s">
        <v>9</v>
      </c>
      <c r="J281" t="s">
        <v>12</v>
      </c>
      <c r="K281" s="17" t="s">
        <v>109</v>
      </c>
      <c r="L281" s="18" t="s">
        <v>16</v>
      </c>
      <c r="M281" t="s">
        <v>18</v>
      </c>
    </row>
    <row r="282" spans="1:13" x14ac:dyDescent="0.25">
      <c r="A282" t="s">
        <v>67</v>
      </c>
      <c r="B282" s="16" t="s">
        <v>29</v>
      </c>
      <c r="C282" t="s">
        <v>12</v>
      </c>
      <c r="D282" t="str">
        <f t="shared" si="7"/>
        <v>MERCURY-Pisces-Gemini</v>
      </c>
      <c r="E282" s="17" t="s">
        <v>104</v>
      </c>
      <c r="F282" s="18" t="s">
        <v>25</v>
      </c>
      <c r="G282" s="19" t="s">
        <v>29</v>
      </c>
      <c r="H282" s="20" t="s">
        <v>98</v>
      </c>
      <c r="I282" s="18" t="s">
        <v>7</v>
      </c>
      <c r="J282" t="s">
        <v>12</v>
      </c>
      <c r="K282" s="17" t="s">
        <v>99</v>
      </c>
      <c r="L282" s="18" t="s">
        <v>14</v>
      </c>
      <c r="M282" t="s">
        <v>18</v>
      </c>
    </row>
    <row r="283" spans="1:13" x14ac:dyDescent="0.25">
      <c r="A283" t="s">
        <v>67</v>
      </c>
      <c r="B283" s="16" t="s">
        <v>29</v>
      </c>
      <c r="C283" t="s">
        <v>14</v>
      </c>
      <c r="D283" t="str">
        <f t="shared" si="7"/>
        <v>MERCURY-Pisces-Cancer</v>
      </c>
      <c r="E283" s="17" t="s">
        <v>105</v>
      </c>
      <c r="F283" s="18" t="s">
        <v>23</v>
      </c>
      <c r="G283" s="19" t="s">
        <v>29</v>
      </c>
      <c r="H283" s="20" t="s">
        <v>100</v>
      </c>
      <c r="I283" s="18" t="s">
        <v>29</v>
      </c>
      <c r="J283" t="s">
        <v>12</v>
      </c>
      <c r="K283" s="17" t="s">
        <v>101</v>
      </c>
      <c r="L283" s="18" t="s">
        <v>12</v>
      </c>
      <c r="M283" t="s">
        <v>18</v>
      </c>
    </row>
    <row r="284" spans="1:13" x14ac:dyDescent="0.25">
      <c r="A284" t="s">
        <v>67</v>
      </c>
      <c r="B284" s="16" t="s">
        <v>29</v>
      </c>
      <c r="C284" t="s">
        <v>16</v>
      </c>
      <c r="D284" t="str">
        <f t="shared" si="7"/>
        <v>MERCURY-Pisces-Leo</v>
      </c>
      <c r="E284" s="17" t="s">
        <v>106</v>
      </c>
      <c r="F284" s="18" t="s">
        <v>21</v>
      </c>
      <c r="G284" s="19" t="s">
        <v>29</v>
      </c>
      <c r="H284" s="20" t="s">
        <v>102</v>
      </c>
      <c r="I284" s="18" t="s">
        <v>27</v>
      </c>
      <c r="J284" t="s">
        <v>12</v>
      </c>
      <c r="K284" s="17" t="s">
        <v>103</v>
      </c>
      <c r="L284" s="18" t="s">
        <v>9</v>
      </c>
      <c r="M284" t="s">
        <v>18</v>
      </c>
    </row>
    <row r="285" spans="1:13" x14ac:dyDescent="0.25">
      <c r="A285" t="s">
        <v>67</v>
      </c>
      <c r="B285" s="16" t="s">
        <v>29</v>
      </c>
      <c r="C285" t="s">
        <v>18</v>
      </c>
      <c r="D285" t="str">
        <f t="shared" si="7"/>
        <v>MERCURY-Pisces-Virgo</v>
      </c>
      <c r="E285" s="17" t="s">
        <v>107</v>
      </c>
      <c r="F285" s="18" t="s">
        <v>10</v>
      </c>
      <c r="G285" s="19" t="s">
        <v>29</v>
      </c>
      <c r="H285" s="20" t="s">
        <v>104</v>
      </c>
      <c r="I285" s="18" t="s">
        <v>25</v>
      </c>
      <c r="J285" t="s">
        <v>12</v>
      </c>
      <c r="K285" s="17" t="s">
        <v>98</v>
      </c>
      <c r="L285" s="18" t="s">
        <v>7</v>
      </c>
      <c r="M285" t="s">
        <v>18</v>
      </c>
    </row>
    <row r="286" spans="1:13" x14ac:dyDescent="0.25">
      <c r="A286" t="s">
        <v>67</v>
      </c>
      <c r="B286" s="16" t="s">
        <v>29</v>
      </c>
      <c r="C286" t="s">
        <v>10</v>
      </c>
      <c r="D286" t="str">
        <f t="shared" si="7"/>
        <v>MERCURY-Pisces-Libra</v>
      </c>
      <c r="E286" s="17" t="s">
        <v>108</v>
      </c>
      <c r="F286" s="18" t="s">
        <v>18</v>
      </c>
      <c r="G286" s="19" t="s">
        <v>29</v>
      </c>
      <c r="H286" s="20" t="s">
        <v>105</v>
      </c>
      <c r="I286" s="18" t="s">
        <v>23</v>
      </c>
      <c r="J286" t="s">
        <v>12</v>
      </c>
      <c r="K286" s="17" t="s">
        <v>100</v>
      </c>
      <c r="L286" s="18" t="s">
        <v>29</v>
      </c>
      <c r="M286" t="s">
        <v>18</v>
      </c>
    </row>
    <row r="287" spans="1:13" x14ac:dyDescent="0.25">
      <c r="A287" t="s">
        <v>67</v>
      </c>
      <c r="B287" s="16" t="s">
        <v>29</v>
      </c>
      <c r="C287" t="s">
        <v>21</v>
      </c>
      <c r="D287" t="str">
        <f t="shared" si="7"/>
        <v>MERCURY-Pisces-Scorpio</v>
      </c>
      <c r="E287" s="17" t="s">
        <v>109</v>
      </c>
      <c r="F287" s="18" t="s">
        <v>16</v>
      </c>
      <c r="G287" s="19" t="s">
        <v>29</v>
      </c>
      <c r="H287" s="20" t="s">
        <v>106</v>
      </c>
      <c r="I287" s="18" t="s">
        <v>21</v>
      </c>
      <c r="J287" t="s">
        <v>12</v>
      </c>
      <c r="K287" s="17" t="s">
        <v>102</v>
      </c>
      <c r="L287" s="18" t="s">
        <v>27</v>
      </c>
      <c r="M287" t="s">
        <v>18</v>
      </c>
    </row>
    <row r="288" spans="1:13" x14ac:dyDescent="0.25">
      <c r="A288" t="s">
        <v>67</v>
      </c>
      <c r="B288" s="16" t="s">
        <v>29</v>
      </c>
      <c r="C288" t="s">
        <v>23</v>
      </c>
      <c r="D288" t="str">
        <f t="shared" si="7"/>
        <v>MERCURY-Pisces-Sagittarius</v>
      </c>
      <c r="E288" s="17" t="s">
        <v>99</v>
      </c>
      <c r="F288" s="18" t="s">
        <v>14</v>
      </c>
      <c r="G288" s="19" t="s">
        <v>29</v>
      </c>
      <c r="H288" s="20" t="s">
        <v>107</v>
      </c>
      <c r="I288" s="18" t="s">
        <v>10</v>
      </c>
      <c r="J288" t="s">
        <v>12</v>
      </c>
      <c r="K288" s="17" t="s">
        <v>104</v>
      </c>
      <c r="L288" s="18" t="s">
        <v>25</v>
      </c>
      <c r="M288" t="s">
        <v>18</v>
      </c>
    </row>
    <row r="289" spans="1:13" x14ac:dyDescent="0.25">
      <c r="A289" t="s">
        <v>67</v>
      </c>
      <c r="B289" s="16" t="s">
        <v>29</v>
      </c>
      <c r="C289" t="s">
        <v>25</v>
      </c>
      <c r="D289" t="str">
        <f t="shared" si="7"/>
        <v>MERCURY-Pisces-Capricorn</v>
      </c>
      <c r="E289" s="17" t="s">
        <v>101</v>
      </c>
      <c r="F289" s="18" t="s">
        <v>12</v>
      </c>
      <c r="G289" s="19" t="s">
        <v>29</v>
      </c>
      <c r="H289" s="20" t="s">
        <v>108</v>
      </c>
      <c r="I289" s="18" t="s">
        <v>18</v>
      </c>
      <c r="J289" t="s">
        <v>12</v>
      </c>
      <c r="K289" s="17" t="s">
        <v>105</v>
      </c>
      <c r="L289" s="18" t="s">
        <v>23</v>
      </c>
      <c r="M289" t="s">
        <v>18</v>
      </c>
    </row>
    <row r="290" spans="1:13" x14ac:dyDescent="0.25">
      <c r="A290" t="s">
        <v>67</v>
      </c>
      <c r="B290" s="16" t="s">
        <v>29</v>
      </c>
      <c r="C290" t="s">
        <v>27</v>
      </c>
      <c r="D290" t="str">
        <f t="shared" si="7"/>
        <v>MERCURY-Pisces-Aquarius</v>
      </c>
      <c r="E290" s="17" t="s">
        <v>103</v>
      </c>
      <c r="F290" s="18" t="s">
        <v>9</v>
      </c>
      <c r="G290" s="19" t="s">
        <v>29</v>
      </c>
      <c r="H290" s="20" t="s">
        <v>109</v>
      </c>
      <c r="I290" s="18" t="s">
        <v>16</v>
      </c>
      <c r="J290" t="s">
        <v>12</v>
      </c>
      <c r="K290" s="17" t="s">
        <v>106</v>
      </c>
      <c r="L290" s="18" t="s">
        <v>21</v>
      </c>
      <c r="M290" t="s">
        <v>18</v>
      </c>
    </row>
    <row r="291" spans="1:13" x14ac:dyDescent="0.25">
      <c r="A291" t="s">
        <v>67</v>
      </c>
      <c r="B291" s="16" t="s">
        <v>29</v>
      </c>
      <c r="C291" t="s">
        <v>29</v>
      </c>
      <c r="D291" t="str">
        <f t="shared" si="7"/>
        <v>MERCURY-Pisces-Pisces</v>
      </c>
      <c r="E291" s="17" t="s">
        <v>98</v>
      </c>
      <c r="F291" s="18" t="s">
        <v>7</v>
      </c>
      <c r="G291" s="19" t="s">
        <v>29</v>
      </c>
      <c r="H291" s="20" t="s">
        <v>99</v>
      </c>
      <c r="I291" s="18" t="s">
        <v>14</v>
      </c>
      <c r="J291" t="s">
        <v>12</v>
      </c>
      <c r="K291" s="17" t="s">
        <v>107</v>
      </c>
      <c r="L291" s="18" t="s">
        <v>10</v>
      </c>
      <c r="M291" t="s">
        <v>18</v>
      </c>
    </row>
  </sheetData>
  <mergeCells count="2">
    <mergeCell ref="E1:F1"/>
    <mergeCell ref="H1:J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BAFB-E629-4AEB-AC21-C427EFBF0408}">
  <dimension ref="E1:J1"/>
  <sheetViews>
    <sheetView workbookViewId="0">
      <selection sqref="A1:XFD1"/>
    </sheetView>
  </sheetViews>
  <sheetFormatPr defaultRowHeight="15" x14ac:dyDescent="0.25"/>
  <sheetData>
    <row r="1" spans="5:10" ht="24" x14ac:dyDescent="0.25">
      <c r="E1" s="385" t="s">
        <v>89</v>
      </c>
      <c r="F1" s="385"/>
      <c r="G1" s="11" t="s">
        <v>90</v>
      </c>
      <c r="H1" s="386" t="s">
        <v>91</v>
      </c>
      <c r="I1" s="385"/>
      <c r="J1" s="385"/>
    </row>
  </sheetData>
  <mergeCells count="2">
    <mergeCell ref="E1:F1"/>
    <mergeCell ref="H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16</vt:i4>
      </vt:variant>
      <vt:variant>
        <vt:lpstr>Imenovani obsegi</vt:lpstr>
      </vt:variant>
      <vt:variant>
        <vt:i4>30</vt:i4>
      </vt:variant>
    </vt:vector>
  </HeadingPairs>
  <TitlesOfParts>
    <vt:vector size="46" baseType="lpstr">
      <vt:lpstr>Spark_calculator</vt:lpstr>
      <vt:lpstr>TruePlacement_calculator</vt:lpstr>
      <vt:lpstr>Practice</vt:lpstr>
      <vt:lpstr>Practice2</vt:lpstr>
      <vt:lpstr>Practice3</vt:lpstr>
      <vt:lpstr>WORD_document</vt:lpstr>
      <vt:lpstr>row_WD</vt:lpstr>
      <vt:lpstr>List5</vt:lpstr>
      <vt:lpstr>List8</vt:lpstr>
      <vt:lpstr>ListOption_PLANET</vt:lpstr>
      <vt:lpstr>ListOption_SIGN</vt:lpstr>
      <vt:lpstr>Seznami</vt:lpstr>
      <vt:lpstr>Spark_DataBase</vt:lpstr>
      <vt:lpstr>TruePlacement_DataBase1</vt:lpstr>
      <vt:lpstr>TruePlacement_DataBase2</vt:lpstr>
      <vt:lpstr>TruePlacement_DataBase3</vt:lpstr>
      <vt:lpstr>Aquarius</vt:lpstr>
      <vt:lpstr>Aries</vt:lpstr>
      <vt:lpstr>Cancer</vt:lpstr>
      <vt:lpstr>Capricorn</vt:lpstr>
      <vt:lpstr>DD_degree_dd</vt:lpstr>
      <vt:lpstr>DD_risingsign_ddown</vt:lpstr>
      <vt:lpstr>DD_sign_dd</vt:lpstr>
      <vt:lpstr>DD_subject_dd</vt:lpstr>
      <vt:lpstr>DD_TruePlacement1_ddown</vt:lpstr>
      <vt:lpstr>DD_TruePlacement2_ddown</vt:lpstr>
      <vt:lpstr>Gemini</vt:lpstr>
      <vt:lpstr>JUPITER</vt:lpstr>
      <vt:lpstr>Leo</vt:lpstr>
      <vt:lpstr>Libra</vt:lpstr>
      <vt:lpstr>MARS</vt:lpstr>
      <vt:lpstr>MERCURY</vt:lpstr>
      <vt:lpstr>MOON</vt:lpstr>
      <vt:lpstr>NEPTUNE</vt:lpstr>
      <vt:lpstr>Pisces</vt:lpstr>
      <vt:lpstr>Planet</vt:lpstr>
      <vt:lpstr>PLUTO</vt:lpstr>
      <vt:lpstr>Sagittarius</vt:lpstr>
      <vt:lpstr>SATURN</vt:lpstr>
      <vt:lpstr>Scorpio</vt:lpstr>
      <vt:lpstr>SIGN</vt:lpstr>
      <vt:lpstr>SUN</vt:lpstr>
      <vt:lpstr>Taurus</vt:lpstr>
      <vt:lpstr>URANUS</vt:lpstr>
      <vt:lpstr>VENUS</vt:lpstr>
      <vt:lpstr>Virgo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dc:creator>
  <cp:lastModifiedBy>Renata</cp:lastModifiedBy>
  <dcterms:created xsi:type="dcterms:W3CDTF">2025-12-08T19:21:30Z</dcterms:created>
  <dcterms:modified xsi:type="dcterms:W3CDTF">2025-12-11T23:08:33Z</dcterms:modified>
</cp:coreProperties>
</file>